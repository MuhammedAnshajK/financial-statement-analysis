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Charts" sheetId="3" state="visible" r:id="rId5"/>
    <sheet name="Income Statement" sheetId="4" state="visible" r:id="rId6"/>
    <sheet name="Balance Sheet" sheetId="5" state="visible" r:id="rId7"/>
    <sheet name="Cash Flow" sheetId="6" state="visible" r:id="rId8"/>
    <sheet name="Common Size" sheetId="7" state="visible" r:id="rId9"/>
    <sheet name="Ratios" sheetId="8" state="visible" r:id="rId10"/>
    <sheet name="Check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<sst xmlns="http://schemas.openxmlformats.org/spreadsheetml/2006/main" count="430" uniqueCount="281">
  <si>
    <t xml:space="preserve">Nike, Inc.: Financial Statement Analysis</t>
  </si>
  <si>
    <t xml:space="preserve">Five fiscal years, FY2022 to FY2026 (years ending 31 May). Figures in $ millions as reported in Nike's Form 10-K filings.</t>
  </si>
  <si>
    <t xml:space="preserve">Purpose</t>
  </si>
  <si>
    <t xml:space="preserve">Assess how Nike's growth, profitability, efficiency, liquidity, leverage and cash generation have changed over five years.</t>
  </si>
  <si>
    <t xml:space="preserve">Data</t>
  </si>
  <si>
    <t xml:space="preserve">Income statement, balance sheet and cash flow statement typed in from the 10-K (FY2021 is used only as the base year for growth and averages).</t>
  </si>
  <si>
    <t xml:space="preserve">Method</t>
  </si>
  <si>
    <t xml:space="preserve">Common-size statements, trend (growth) analysis, ratio analysis, DuPont breakdown of ROE and a cash flow review.</t>
  </si>
  <si>
    <t xml:space="preserve">Sheets</t>
  </si>
  <si>
    <t xml:space="preserve">Summary</t>
  </si>
  <si>
    <t xml:space="preserve">Key figures and written findings</t>
  </si>
  <si>
    <t xml:space="preserve">Charts</t>
  </si>
  <si>
    <t xml:space="preserve">Six charts of the main trends</t>
  </si>
  <si>
    <t xml:space="preserve">Income Statement / Balance Sheet / Cash Flow</t>
  </si>
  <si>
    <t xml:space="preserve">Source statements (blue inputs, black formulas)</t>
  </si>
  <si>
    <t xml:space="preserve">Common Size</t>
  </si>
  <si>
    <t xml:space="preserve">Each line as a % of revenue or total assets</t>
  </si>
  <si>
    <t xml:space="preserve">Ratios</t>
  </si>
  <si>
    <t xml:space="preserve">41 ratios and measures, each with its formula and what it shows</t>
  </si>
  <si>
    <t xml:space="preserve">Checks</t>
  </si>
  <si>
    <t xml:space="preserve">Model totals reconciled to the 10-K</t>
  </si>
  <si>
    <t xml:space="preserve">Colour key</t>
  </si>
  <si>
    <t xml:space="preserve">Blue text</t>
  </si>
  <si>
    <t xml:space="preserve">Input typed in from the 10-K</t>
  </si>
  <si>
    <t xml:space="preserve">Black text</t>
  </si>
  <si>
    <t xml:space="preserve">Formula</t>
  </si>
  <si>
    <t xml:space="preserve">Green text</t>
  </si>
  <si>
    <t xml:space="preserve">Link to another sheet</t>
  </si>
  <si>
    <t xml:space="preserve">Checks status</t>
  </si>
  <si>
    <t xml:space="preserve">Sources</t>
  </si>
  <si>
    <t xml:space="preserve">NIKE, Inc. Form 10-K, fiscal 2021, 2022, 2023, 2025 and 2026, from SEC EDGAR (sec.gov).</t>
  </si>
  <si>
    <t xml:space="preserve">Nike: Five-Year Financial Statement Analysis</t>
  </si>
  <si>
    <t xml:space="preserve">Key figures, fiscal 2022 to 2026 ($ millions unless stated). All figures link to the statements and ratio sheets.</t>
  </si>
  <si>
    <t xml:space="preserve">$ millions unless stated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</si>
  <si>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</si>
  <si>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</si>
  <si>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</si>
  <si>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</si>
  <si>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</si>
  <si>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FY22 to FY26</t>
  </si>
  <si>
    <t xml:space="preserve">Revenue</t>
  </si>
  <si>
    <t xml:space="preserve">a year (CAGR)</t>
  </si>
  <si>
    <t xml:space="preserve">Revenue growth</t>
  </si>
  <si>
    <t xml:space="preserve">Gross margin</t>
  </si>
  <si>
    <t xml:space="preserve">Operating (EBIT) margin</t>
  </si>
  <si>
    <t xml:space="preserve">Net income</t>
  </si>
  <si>
    <t xml:space="preserve">Diluted EPS ($)</t>
  </si>
  <si>
    <t xml:space="preserve">Return on equity</t>
  </si>
  <si>
    <t xml:space="preserve">Current ratio</t>
  </si>
  <si>
    <t xml:space="preserve">Cash conversion cycle (days)</t>
  </si>
  <si>
    <t xml:space="preserve">Net cash (debt)</t>
  </si>
  <si>
    <t xml:space="preserve">Free cash flow</t>
  </si>
  <si>
    <t xml:space="preserve">Cash returned to shareholders</t>
  </si>
  <si>
    <t xml:space="preserve">Key findings</t>
  </si>
  <si>
    <t xml:space="preserve">1. Growth has stalled. Revenue rose from $46.7bn (FY2022) to a peak of $51.4bn (FY2024), then fell 9.8% to $46.3bn in FY2025 and was flat at $46.4bn in FY2026.</t>
  </si>
  <si>
    <t xml:space="preserve">2. Profitability has roughly halved. EBIT margin fell from 14.3% to 8.2% and net income from $6.0bn to $3.1bn. Diluted EPS fell from $3.75 to $2.10.</t>
  </si>
  <si>
    <t xml:space="preserve">3. The margin squeeze comes from both lines. Gross margin is down about 3 points (46.0% to 42.9%), and demand creation (marketing) rose from 8.2% to 10.2% of revenue as Nike spent to win back growth.</t>
  </si>
  <si>
    <t xml:space="preserve">4. ROE fell from 43% to 22%. DuPont analysis shows asset turnover and leverage were stable, so the whole decline comes from lower margins.</t>
  </si>
  <si>
    <t xml:space="preserve">5. The balance sheet is still strong but the cushion is thinner. Nike remains net cash ($1.1bn), but down from $3.6bn. The current ratio fell from 2.6x to 2.0x, partly because $2bn of debt falls due within a year.</t>
  </si>
  <si>
    <t xml:space="preserve">6. Cash returns outran cash generation. Over FY2022 to FY2026, Nike returned $27.6bn through buybacks and dividends against $21.4bn of free cash flow. Buybacks were cut to $0.1bn in FY2026, while the dividend kept rising.</t>
  </si>
  <si>
    <t xml:space="preserve">7. Working capital: inventory days are steady at about 103 after the FY2022 glut was cleared, but receivable days rose from 30 to 42, which held back FY2026 cash flow (FCF conversion 70%).</t>
  </si>
  <si>
    <t xml:space="preserve">Overall: a financially solid company in a turnaround. The priority to watch is whether gross margin and sales growth recover enough to justify the higher marketing spend.</t>
  </si>
  <si>
    <t xml:space="preserve">All charts read from the Ratios and Summary sheets. Fiscal years 2022 to 2026.</t>
  </si>
  <si>
    <t xml:space="preserve">Chart data (linked)</t>
  </si>
  <si>
    <t xml:space="preserve">Year</t>
  </si>
  <si>
    <t xml:space="preserve">EBIT margin</t>
  </si>
  <si>
    <t xml:space="preserve">Net margin</t>
  </si>
  <si>
    <t xml:space="preserve">Cash returned</t>
  </si>
  <si>
    <t xml:space="preserve">DSO</t>
  </si>
  <si>
    <t xml:space="preserve">DIO</t>
  </si>
  <si>
    <t xml:space="preserve">DPO</t>
  </si>
  <si>
    <t xml:space="preserve">ROE</t>
  </si>
  <si>
    <t xml:space="preserve">Demand creation %</t>
  </si>
  <si>
    <t xml:space="preserve">Consolidated Income Statement</t>
  </si>
  <si>
    <t xml:space="preserve">Source: NIKE, Inc. Form 10-K filings for fiscal 2021 to 2026 (years end 31 May), as reported.</t>
  </si>
  <si>
    <t xml:space="preserve">Base year</t>
  </si>
  <si>
    <t xml:space="preserve">FY2021</t>
  </si>
  <si>
    <t xml:space="preserve">Revenues</t>
  </si>
  <si>
    <t xml:space="preserve">Cost of sales</t>
  </si>
  <si>
    <t xml:space="preserve">Gross profit</t>
  </si>
  <si>
    <t xml:space="preserve">Demand creation expense</t>
  </si>
  <si>
    <t xml:space="preserve">Operating overhead expense</t>
  </si>
  <si>
    <t xml:space="preserve">Total selling and administrative expense</t>
  </si>
  <si>
    <t xml:space="preserve">Operating income (EBIT)</t>
  </si>
  <si>
    <t xml:space="preserve">Interest expense (income), net</t>
  </si>
  <si>
    <t xml:space="preserve">Other (income) expense, net</t>
  </si>
  <si>
    <t xml:space="preserve">Income before income taxes</t>
  </si>
  <si>
    <t xml:space="preserve">Income tax expense</t>
  </si>
  <si>
    <t xml:space="preserve">Diluted weighted average shares (m)</t>
  </si>
  <si>
    <t xml:space="preserve">Consolidated Balance Sheet</t>
  </si>
  <si>
    <t xml:space="preserve">Source: NIKE, Inc. Form 10-K filings for fiscal 2021 to 2026 (years end 31 May), as reported. Balances at 31 May.</t>
  </si>
  <si>
    <t xml:space="preserve">Current assets</t>
  </si>
  <si>
    <t xml:space="preserve">Cash and equivalents</t>
  </si>
  <si>
    <t xml:space="preserve">Short-term investments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</si>
  <si>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</si>
  <si>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</si>
  <si>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</si>
  <si>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</si>
  <si>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Property, plant and equipment, net</t>
  </si>
  <si>
    <t xml:space="preserve">Operating lease right-of-use assets, net</t>
  </si>
  <si>
    <t xml:space="preserve">Identifiable intangible assets, net</t>
  </si>
  <si>
    <t xml:space="preserve">Goodwill</t>
  </si>
  <si>
    <t xml:space="preserve">Deferred income taxes and other assets</t>
  </si>
  <si>
    <t xml:space="preserve">Total assets</t>
  </si>
  <si>
    <t xml:space="preserve">Current liabilities</t>
  </si>
  <si>
    <t xml:space="preserve">Current portion of long-term debt</t>
  </si>
  <si>
    <t xml:space="preserve">Notes payable</t>
  </si>
  <si>
    <t xml:space="preserve">Accounts payable</t>
  </si>
  <si>
    <t xml:space="preserve">Current portion of operating lease liabilities</t>
  </si>
  <si>
    <t xml:space="preserve">Accrued liabilities</t>
  </si>
  <si>
    <t xml:space="preserve">Income taxes payable</t>
  </si>
  <si>
    <t xml:space="preserve">Total current liabilities</t>
  </si>
  <si>
    <t xml:space="preserve">Long-term debt</t>
  </si>
  <si>
    <t xml:space="preserve">Operating lease liabilities</t>
  </si>
  <si>
    <t xml:space="preserve">Deferred income taxes and other liabilities</t>
  </si>
  <si>
    <t xml:space="preserve">Total liabilities</t>
  </si>
  <si>
    <t xml:space="preserve">Shareholders' equity</t>
  </si>
  <si>
    <t xml:space="preserve">Common stock at stated value</t>
  </si>
  <si>
    <t xml:space="preserve">Capital in excess of stated value</t>
  </si>
  <si>
    <t xml:space="preserve">Accumulated other comprehensive income (loss)</t>
  </si>
  <si>
    <t xml:space="preserve">Retained earnings (deficit)</t>
  </si>
  <si>
    <t xml:space="preserve">Total shareholders' equity</t>
  </si>
  <si>
    <t xml:space="preserve">Total liabilities and shareholders' equity</t>
  </si>
  <si>
    <t xml:space="preserve">Consolidated Cash Flow Statement</t>
  </si>
  <si>
    <t xml:space="preserve">Operating activities</t>
  </si>
  <si>
    <t xml:space="preserve">Depreciation and amortization</t>
  </si>
  <si>
    <t xml:space="preserve">Deferred income taxes</t>
  </si>
  <si>
    <t xml:space="preserve">Stock-based compensation</t>
  </si>
  <si>
    <t xml:space="preserve">Impairment and other</t>
  </si>
  <si>
    <t xml:space="preserve">Net foreign currency adjustments</t>
  </si>
  <si>
    <t xml:space="preserve">(Increase) decrease in accounts receivable</t>
  </si>
  <si>
    <t xml:space="preserve">(Increase) decrease in inventories</t>
  </si>
  <si>
    <t xml:space="preserve">(Increase) decrease in prepaid expenses and other assets</t>
  </si>
  <si>
    <t xml:space="preserve">Increase (decrease) in payables and other liabilities</t>
  </si>
  <si>
    <t xml:space="preserve">Cash provided by operations</t>
  </si>
  <si>
    <t xml:space="preserve">Investing activities</t>
  </si>
  <si>
    <t xml:space="preserve">Purchases of short-term investments</t>
  </si>
  <si>
    <t xml:space="preserve">Maturities of short-term investments</t>
  </si>
  <si>
    <t xml:space="preserve">Sales of short-term investments</t>
  </si>
  <si>
    <t xml:space="preserve">Additions to property, plant and equipment</t>
  </si>
  <si>
    <t xml:space="preserve">Other investing activities</t>
  </si>
  <si>
    <t xml:space="preserve">Cash provided (used) by investing activities</t>
  </si>
  <si>
    <t xml:space="preserve">Financing activities</t>
  </si>
  <si>
    <t xml:space="preserve">Increase (decrease) in notes payable, net</t>
  </si>
  <si>
    <t xml:space="preserve">Repayment of borrowings</t>
  </si>
  <si>
    <t xml:space="preserve">Proceeds from stock options and other issuances</t>
  </si>
  <si>
    <t xml:space="preserve">Repurchase of common stock</t>
  </si>
  <si>
    <t xml:space="preserve">Dividends paid</t>
  </si>
  <si>
    <t xml:space="preserve">Other financing activities</t>
  </si>
  <si>
    <t xml:space="preserve">Cash provided (used) by financing activities</t>
  </si>
  <si>
    <t xml:space="preserve">Effect of exchange rate changes</t>
  </si>
  <si>
    <t xml:space="preserve">Net increase (decrease) in cash</t>
  </si>
  <si>
    <t xml:space="preserve">Cash at beginning of year</t>
  </si>
  <si>
    <t xml:space="preserve">Cash at end of year</t>
  </si>
  <si>
    <t xml:space="preserve">Supplementary disclosure</t>
  </si>
  <si>
    <t xml:space="preserve">Cash paid for interest, net of capitalized interest</t>
  </si>
  <si>
    <t xml:space="preserve">Common-Size Statements</t>
  </si>
  <si>
    <t xml:space="preserve">Each line as a % of revenue (income statement) or total assets (balance sheet), so years of different size compare directly.</t>
  </si>
  <si>
    <t xml:space="preserve">Income statement, % of revenue</t>
  </si>
  <si>
    <t xml:space="preserve">Line / revenue</t>
  </si>
  <si>
    <t xml:space="preserve">Balance sheet, % of total assets</t>
  </si>
  <si>
    <t xml:space="preserve">Line / total assets</t>
  </si>
  <si>
    <t xml:space="preserve">Ratio Analysis</t>
  </si>
  <si>
    <t xml:space="preserve">Fiscal years 2022 to 2026. Balance sheet ratios use the average of opening and closing balances.</t>
  </si>
  <si>
    <t xml:space="preserve">What it tells you</t>
  </si>
  <si>
    <t xml:space="preserve">Growth</t>
  </si>
  <si>
    <t xml:space="preserve">Revenue / prior year - 1</t>
  </si>
  <si>
    <t xml:space="preserve">Sales peaked in FY2024, then fell almost 10% in FY2025 and were flat in FY2026.</t>
  </si>
  <si>
    <t xml:space="preserve">Operating income growth</t>
  </si>
  <si>
    <t xml:space="preserve">EBIT / prior year - 1</t>
  </si>
  <si>
    <t xml:space="preserve">Profit falls much faster than sales: costs did not shrink with revenue (operating leverage).</t>
  </si>
  <si>
    <t xml:space="preserve">Net income growth</t>
  </si>
  <si>
    <t xml:space="preserve">Net income / prior year - 1</t>
  </si>
  <si>
    <t xml:space="preserve">Diluted EPS growth</t>
  </si>
  <si>
    <t xml:space="preserve">EPS / prior year - 1</t>
  </si>
  <si>
    <t xml:space="preserve">EPS falls slightly less than net income because buybacks reduced the share count.</t>
  </si>
  <si>
    <t xml:space="preserve">Profitability</t>
  </si>
  <si>
    <t xml:space="preserve">Gross profit / revenue</t>
  </si>
  <si>
    <t xml:space="preserve">Down about 3 points from FY2022: heavier discounting to clear inventory and product mix.</t>
  </si>
  <si>
    <t xml:space="preserve">Demand creation (marketing) % of revenue</t>
  </si>
  <si>
    <t xml:space="preserve">Demand creation / revenue</t>
  </si>
  <si>
    <t xml:space="preserve">Marketing spend rose from 8% to over 10% of sales while sales fell.</t>
  </si>
  <si>
    <t xml:space="preserve">Operating overhead % of revenue</t>
  </si>
  <si>
    <t xml:space="preserve">Operating overhead / revenue</t>
  </si>
  <si>
    <t xml:space="preserve">EBIT / revenue</t>
  </si>
  <si>
    <t xml:space="preserve">The key profitability measure: from 14.3% to 8.2% in four years.</t>
  </si>
  <si>
    <t xml:space="preserve">EBITDA margin</t>
  </si>
  <si>
    <t xml:space="preserve">(EBIT + D&amp;A) / revenue</t>
  </si>
  <si>
    <t xml:space="preserve">Net income / revenue</t>
  </si>
  <si>
    <t xml:space="preserve">Effective tax rate</t>
  </si>
  <si>
    <t xml:space="preserve">Tax / profit before tax</t>
  </si>
  <si>
    <t xml:space="preserve">Rising tax rate is another drag on net income in FY2026.</t>
  </si>
  <si>
    <t xml:space="preserve">Return on equity (ROE)</t>
  </si>
  <si>
    <t xml:space="preserve">Net income / average equity</t>
  </si>
  <si>
    <t xml:space="preserve">Still high for a consumer company, but roughly halved since FY2022.</t>
  </si>
  <si>
    <t xml:space="preserve">Return on assets (ROA)</t>
  </si>
  <si>
    <t xml:space="preserve">Net income / average total assets</t>
  </si>
  <si>
    <t xml:space="preserve">DuPont analysis (ROE = net margin x asset turnover x equity multiplier)</t>
  </si>
  <si>
    <t xml:space="preserve">This is the component that moved: ROE fell because margins fell.</t>
  </si>
  <si>
    <t xml:space="preserve">Asset turnover</t>
  </si>
  <si>
    <t xml:space="preserve">Revenue / average total assets</t>
  </si>
  <si>
    <t xml:space="preserve">Stable at about 1.2x to 1.4x.</t>
  </si>
  <si>
    <t xml:space="preserve">Equity multiplier</t>
  </si>
  <si>
    <t xml:space="preserve">Average assets / average equity</t>
  </si>
  <si>
    <t xml:space="preserve">Stable leverage, so not the driver.</t>
  </si>
  <si>
    <t xml:space="preserve">ROE (DuPont)</t>
  </si>
  <si>
    <t xml:space="preserve">Product of the three above</t>
  </si>
  <si>
    <t xml:space="preserve">Equals ROE above: proves the breakdown adds up.</t>
  </si>
  <si>
    <t xml:space="preserve">Liquidity</t>
  </si>
  <si>
    <t xml:space="preserve">Current assets / current liabilities</t>
  </si>
  <si>
    <t xml:space="preserve">Comfortable, though down from 2.6x to 2.0x. FY2026 includes $2bn of debt due within a year.</t>
  </si>
  <si>
    <t xml:space="preserve">Quick ratio</t>
  </si>
  <si>
    <t xml:space="preserve">(Cash + investments + receivables) / current liabilities</t>
  </si>
  <si>
    <t xml:space="preserve">Excludes inventory, which may need discounting to sell.</t>
  </si>
  <si>
    <t xml:space="preserve">Cash ratio</t>
  </si>
  <si>
    <t xml:space="preserve">(Cash + short-term investments) / current liabilities</t>
  </si>
  <si>
    <t xml:space="preserve">Efficiency (working capital)</t>
  </si>
  <si>
    <t xml:space="preserve">Days sales outstanding (DSO)</t>
  </si>
  <si>
    <t xml:space="preserve">Average receivables / revenue x 365</t>
  </si>
  <si>
    <t xml:space="preserve">Customers took about 42 days to pay in FY2026, up from 30: worth watching.</t>
  </si>
  <si>
    <t xml:space="preserve">Days inventory outstanding (DIO)</t>
  </si>
  <si>
    <t xml:space="preserve">Average inventory / cost of sales x 365</t>
  </si>
  <si>
    <t xml:space="preserve">Inventory was cut back after the FY2022 glut and is now steady.</t>
  </si>
  <si>
    <t xml:space="preserve">Days payables outstanding (DPO)</t>
  </si>
  <si>
    <t xml:space="preserve">Average payables / cost of sales x 365</t>
  </si>
  <si>
    <t xml:space="preserve">Cash conversion cycle</t>
  </si>
  <si>
    <t xml:space="preserve">DSO + DIO - DPO</t>
  </si>
  <si>
    <t xml:space="preserve">Days of sales tied up in working capital. Slightly better than FY2022.</t>
  </si>
  <si>
    <t xml:space="preserve">Inventory turnover</t>
  </si>
  <si>
    <t xml:space="preserve">Cost of sales / average inventory</t>
  </si>
  <si>
    <t xml:space="preserve">Leverage and solvency</t>
  </si>
  <si>
    <t xml:space="preserve">Total debt</t>
  </si>
  <si>
    <t xml:space="preserve">Current + long-term debt + notes payable</t>
  </si>
  <si>
    <t xml:space="preserve">Excludes lease liabilities.</t>
  </si>
  <si>
    <t xml:space="preserve">Cash and short-term investments</t>
  </si>
  <si>
    <t xml:space="preserve">Cash and investments - total debt</t>
  </si>
  <si>
    <t xml:space="preserve">Still net cash, but the cushion shrank from $3.6bn to $1.1bn.</t>
  </si>
  <si>
    <t xml:space="preserve">Debt to equity</t>
  </si>
  <si>
    <t xml:space="preserve">Total debt / equity</t>
  </si>
  <si>
    <t xml:space="preserve">Debt to EBITDA</t>
  </si>
  <si>
    <t xml:space="preserve">Total debt / EBITDA</t>
  </si>
  <si>
    <t xml:space="preserve">Rose from 1.3x to 1.7x because EBITDA fell, not because debt rose.</t>
  </si>
  <si>
    <t xml:space="preserve">Interest cover</t>
  </si>
  <si>
    <t xml:space="preserve">EBIT / cash interest paid</t>
  </si>
  <si>
    <t xml:space="preserve">Uses interest paid because reported net interest is income (cash earns more than debt costs).</t>
  </si>
  <si>
    <t xml:space="preserve">Cash flow and shareholder returns</t>
  </si>
  <si>
    <t xml:space="preserve">Cash from operations</t>
  </si>
  <si>
    <t xml:space="preserve">From cash flow statement</t>
  </si>
  <si>
    <t xml:space="preserve">Capital expenditure</t>
  </si>
  <si>
    <t xml:space="preserve">Additions to PP&amp;E</t>
  </si>
  <si>
    <t xml:space="preserve">Free cash flow (FCF)</t>
  </si>
  <si>
    <t xml:space="preserve">Cash from operations - capex</t>
  </si>
  <si>
    <t xml:space="preserve">Fell by half from FY2022 to FY2026.</t>
  </si>
  <si>
    <t xml:space="preserve">FCF margin</t>
  </si>
  <si>
    <t xml:space="preserve">FCF / revenue</t>
  </si>
  <si>
    <t xml:space="preserve">FCF conversion</t>
  </si>
  <si>
    <t xml:space="preserve">FCF / net income</t>
  </si>
  <si>
    <t xml:space="preserve">Above 100% means profits are backed by cash. FY2026 is weaker because receivables grew.</t>
  </si>
  <si>
    <t xml:space="preserve">Share buybacks</t>
  </si>
  <si>
    <t xml:space="preserve">Dividends</t>
  </si>
  <si>
    <t xml:space="preserve">Dividends kept rising every year.</t>
  </si>
  <si>
    <t xml:space="preserve">Total cash returned to shareholders</t>
  </si>
  <si>
    <t xml:space="preserve">Buybacks + dividends</t>
  </si>
  <si>
    <t xml:space="preserve">Cash returned as % of FCF</t>
  </si>
  <si>
    <t xml:space="preserve">Returns / FCF</t>
  </si>
  <si>
    <t xml:space="preserve">Above 100% in most years: Nike returned more than it generated, funded from its cash pile.</t>
  </si>
  <si>
    <t xml:space="preserve">Every check should show OK. Reported totals are typed in from the 10-K and compared with the totals the model calculates.</t>
  </si>
  <si>
    <t xml:space="preserve">Gross profit agrees to 10-K (difference)</t>
  </si>
  <si>
    <t xml:space="preserve">Income before taxes agrees to 10-K (difference)</t>
  </si>
  <si>
    <t xml:space="preserve">Net income agrees to 10-K (difference)</t>
  </si>
  <si>
    <t xml:space="preserve">Total current assets agree to 10-K (difference)</t>
  </si>
  <si>
    <t xml:space="preserve">Total assets agree to 10-K (difference)</t>
  </si>
  <si>
    <t xml:space="preserve">Total current liabilities agree to 10-K (difference)</t>
  </si>
  <si>
    <t xml:space="preserve">Total equity agrees to 10-K (difference)</t>
  </si>
  <si>
    <t xml:space="preserve">Cash from operations agrees to 10-K (difference)</t>
  </si>
  <si>
    <t xml:space="preserve">Cash from investing agrees to 10-K (difference)</t>
  </si>
  <si>
    <t xml:space="preserve">Cash from financing agrees to 10-K (difference)</t>
  </si>
  <si>
    <t xml:space="preserve">Balance sheet balances (assets - liabilities - equity)</t>
  </si>
  <si>
    <t xml:space="preserve">Cash flow ending cash = balance sheet cash</t>
  </si>
  <si>
    <t xml:space="preserve">Diluted EPS ties to net income / shares (cents)</t>
  </si>
  <si>
    <t xml:space="preserve">Overall status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</si>
</sst>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;\(#,##0\);\-"/>
    <numFmt numFmtId="166" formatCode="0.0%;\(0.0%\);\-"/>
    <numFmt numFmtId="167" formatCode="\+0.0&quot; pts&quot;;\-0.0&quot; pts&quot;"/>
    <numFmt numFmtId="168" formatCode="\$0.00"/>
    <numFmt numFmtId="169" formatCode="0.00\x;\(0.00&quot;x)&quot;"/>
    <numFmt numFmtId="170" formatCode="0.0"/>
    <numFmt numFmtId="171" formatCode="#,##0"/>
    <numFmt numFmtId="172" formatCode="0%"/>
    <numFmt numFmtId="173" formatCode="0"/>
    <numFmt numFmtId="174" formatCode="0.0%"/>
    <numFmt numFmtId="175" formatCode="#,##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  <fill>
      <patternFill patternType="solid">
        <fgColor rgb="FFDCE6F1"/>
        <bgColor rgb="FFE1E0D9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  <border diagonalUp="false" diagonalDown="false">
      <left/>
      <right/>
      <top style="thin">
        <color rgb="FF808080"/>
      </top>
      <bottom style="double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98781"/>
      <rgbColor rgb="FF800080"/>
      <rgbColor rgb="FF008080"/>
      <rgbColor rgb="FFC0C0C0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1E0D9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B6834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and net income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Charts!A42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Charts!$B$41:$F$41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Charts!$B$42:$F$42</c:f>
              <c:numCache>
                <c:formatCode>#,##0;\(#,##0\);\-</c:formatCode>
                <c:ptCount val="5"/>
                <c:pt idx="0">
                  <c:v>46710</c:v>
                </c:pt>
                <c:pt idx="1">
                  <c:v>51217</c:v>
                </c:pt>
                <c:pt idx="2">
                  <c:v>51362</c:v>
                </c:pt>
                <c:pt idx="3">
                  <c:v>46309</c:v>
                </c:pt>
                <c:pt idx="4">
                  <c:v>46398</c:v>
                </c:pt>
              </c:numCache>
            </c:numRef>
          </c:val>
        </c:ser>
        <c:ser>
          <c:idx val="1"/>
          <c:order val="1"/>
          <c:tx>
            <c:strRef>
              <c:f>Charts!A43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Charts!$B$41:$F$41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Charts!$B$43:$F$43</c:f>
              <c:numCache>
                <c:formatCode>#,##0;\(#,##0\);\-</c:formatCode>
                <c:ptCount val="5"/>
                <c:pt idx="0">
                  <c:v>6046</c:v>
                </c:pt>
                <c:pt idx="1">
                  <c:v>5070</c:v>
                </c:pt>
                <c:pt idx="2">
                  <c:v>5700</c:v>
                </c:pt>
                <c:pt idx="3">
                  <c:v>3219</c:v>
                </c:pt>
                <c:pt idx="4">
                  <c:v>3108</c:v>
                </c:pt>
              </c:numCache>
            </c:numRef>
          </c:val>
        </c:ser>
        <c:gapWidth val="150"/>
        <c:overlap val="0"/>
        <c:axId val="24637505"/>
        <c:axId val="41764832"/>
      </c:barChart>
      <c:catAx>
        <c:axId val="246375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764832"/>
        <c:crosses val="autoZero"/>
        <c:auto val="1"/>
        <c:lblAlgn val="ctr"/>
        <c:lblOffset val="100"/>
        <c:noMultiLvlLbl val="0"/>
      </c:catAx>
      <c:valAx>
        <c:axId val="41764832"/>
        <c:scaling>
          <c:orientation val="minMax"/>
        </c:scaling>
        <c:delete val="0"/>
        <c:axPos val="l"/>
        <c:majorGridlines>
          <c:spPr>
            <a:ln w="936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63750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Charts!A44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2a78d6"/>
            </a:solidFill>
            <a:ln w="2844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Charts!$B$41:$F$41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Charts!$B$44:$F$44</c:f>
              <c:numCache>
                <c:formatCode>0.0%;\(0.0%\);\-</c:formatCode>
                <c:ptCount val="5"/>
                <c:pt idx="0">
                  <c:v>0.45983729394134</c:v>
                </c:pt>
                <c:pt idx="1">
                  <c:v>0.435246109690142</c:v>
                </c:pt>
                <c:pt idx="2">
                  <c:v>0.445601806783225</c:v>
                </c:pt>
                <c:pt idx="3">
                  <c:v>0.427346736055626</c:v>
                </c:pt>
                <c:pt idx="4">
                  <c:v>0.429134876503298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Charts!A45</c:f>
              <c:strCache>
                <c:ptCount val="1"/>
                <c:pt idx="0">
                  <c:v>EBIT margin</c:v>
                </c:pt>
              </c:strCache>
            </c:strRef>
          </c:tx>
          <c:spPr>
            <a:solidFill>
              <a:srgbClr val="eb6834"/>
            </a:solidFill>
            <a:ln w="2844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Charts!$B$41:$F$41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Charts!$B$45:$F$45</c:f>
              <c:numCache>
                <c:formatCode>0.0%;\(0.0%\);\-</c:formatCode>
                <c:ptCount val="5"/>
                <c:pt idx="0">
                  <c:v>0.142903018625562</c:v>
                </c:pt>
                <c:pt idx="1">
                  <c:v>0.115488997793701</c:v>
                </c:pt>
                <c:pt idx="2">
                  <c:v>0.122872941084849</c:v>
                </c:pt>
                <c:pt idx="3">
                  <c:v>0.0799412641171263</c:v>
                </c:pt>
                <c:pt idx="4">
                  <c:v>0.0818354239406871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Charts!A46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898781"/>
            </a:solidFill>
            <a:ln w="28440">
              <a:solidFill>
                <a:srgbClr val="89878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Charts!$B$41:$F$41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Charts!$B$46:$F$46</c:f>
              <c:numCache>
                <c:formatCode>0.0%;\(0.0%\);\-</c:formatCode>
                <c:ptCount val="5"/>
                <c:pt idx="0">
                  <c:v>0.129436951402269</c:v>
                </c:pt>
                <c:pt idx="1">
                  <c:v>0.0989905695374583</c:v>
                </c:pt>
                <c:pt idx="2">
                  <c:v>0.110976986877458</c:v>
                </c:pt>
                <c:pt idx="3">
                  <c:v>0.0695113260921203</c:v>
                </c:pt>
                <c:pt idx="4">
                  <c:v>0.0669856459330144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7286207"/>
        <c:axId val="73957114"/>
      </c:lineChart>
      <c:catAx>
        <c:axId val="9728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957114"/>
        <c:crosses val="autoZero"/>
        <c:auto val="1"/>
        <c:lblAlgn val="ctr"/>
        <c:lblOffset val="100"/>
        <c:noMultiLvlLbl val="0"/>
      </c:catAx>
      <c:valAx>
        <c:axId val="73957114"/>
        <c:scaling>
          <c:orientation val="minMax"/>
        </c:scaling>
        <c:delete val="0"/>
        <c:axPos val="l"/>
        <c:majorGridlines>
          <c:spPr>
            <a:ln w="936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28620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Free cash flow vs cash returned to shareholders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Charts!A47</c:f>
              <c:strCache>
                <c:ptCount val="1"/>
                <c:pt idx="0">
                  <c:v>Free cash flow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Charts!$B$41:$F$41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Charts!$B$47:$F$47</c:f>
              <c:numCache>
                <c:formatCode>#,##0;\(#,##0\);\-</c:formatCode>
                <c:ptCount val="5"/>
                <c:pt idx="0">
                  <c:v>4430</c:v>
                </c:pt>
                <c:pt idx="1">
                  <c:v>4872</c:v>
                </c:pt>
                <c:pt idx="2">
                  <c:v>6617</c:v>
                </c:pt>
                <c:pt idx="3">
                  <c:v>3268</c:v>
                </c:pt>
                <c:pt idx="4">
                  <c:v>2184</c:v>
                </c:pt>
              </c:numCache>
            </c:numRef>
          </c:val>
        </c:ser>
        <c:ser>
          <c:idx val="1"/>
          <c:order val="1"/>
          <c:tx>
            <c:strRef>
              <c:f>Charts!A48</c:f>
              <c:strCache>
                <c:ptCount val="1"/>
                <c:pt idx="0">
                  <c:v>Cash returned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Charts!$B$41:$F$41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Charts!$B$48:$F$48</c:f>
              <c:numCache>
                <c:formatCode>#,##0;\(#,##0\);\-</c:formatCode>
                <c:ptCount val="5"/>
                <c:pt idx="0">
                  <c:v>5851</c:v>
                </c:pt>
                <c:pt idx="1">
                  <c:v>7492</c:v>
                </c:pt>
                <c:pt idx="2">
                  <c:v>6419</c:v>
                </c:pt>
                <c:pt idx="3">
                  <c:v>5285</c:v>
                </c:pt>
                <c:pt idx="4">
                  <c:v>2553</c:v>
                </c:pt>
              </c:numCache>
            </c:numRef>
          </c:val>
        </c:ser>
        <c:gapWidth val="150"/>
        <c:overlap val="0"/>
        <c:axId val="3473080"/>
        <c:axId val="91036048"/>
      </c:barChart>
      <c:catAx>
        <c:axId val="3473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036048"/>
        <c:crosses val="autoZero"/>
        <c:auto val="1"/>
        <c:lblAlgn val="ctr"/>
        <c:lblOffset val="100"/>
        <c:noMultiLvlLbl val="0"/>
      </c:catAx>
      <c:valAx>
        <c:axId val="91036048"/>
        <c:scaling>
          <c:orientation val="minMax"/>
        </c:scaling>
        <c:delete val="0"/>
        <c:axPos val="l"/>
        <c:majorGridlines>
          <c:spPr>
            <a:ln w="936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7308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Working capital days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Charts!A49</c:f>
              <c:strCache>
                <c:ptCount val="1"/>
                <c:pt idx="0">
                  <c:v>DSO</c:v>
                </c:pt>
              </c:strCache>
            </c:strRef>
          </c:tx>
          <c:spPr>
            <a:solidFill>
              <a:srgbClr val="2a78d6"/>
            </a:solidFill>
            <a:ln w="2844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Charts!$B$41:$F$41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Charts!$B$49:$F$49</c:f>
              <c:numCache>
                <c:formatCode>0.0</c:formatCode>
                <c:ptCount val="5"/>
                <c:pt idx="0">
                  <c:v>35.67169770927</c:v>
                </c:pt>
                <c:pt idx="1">
                  <c:v>31.3496495304293</c:v>
                </c:pt>
                <c:pt idx="2">
                  <c:v>30.4083758420622</c:v>
                </c:pt>
                <c:pt idx="3">
                  <c:v>36.0357597875143</c:v>
                </c:pt>
                <c:pt idx="4">
                  <c:v>41.882408724514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Charts!A50</c:f>
              <c:strCache>
                <c:ptCount val="1"/>
                <c:pt idx="0">
                  <c:v>DIO</c:v>
                </c:pt>
              </c:strCache>
            </c:strRef>
          </c:tx>
          <c:spPr>
            <a:solidFill>
              <a:srgbClr val="eb6834"/>
            </a:solidFill>
            <a:ln w="2844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Charts!$B$41:$F$41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Charts!$B$50:$F$50</c:f>
              <c:numCache>
                <c:formatCode>0.0</c:formatCode>
                <c:ptCount val="5"/>
                <c:pt idx="0">
                  <c:v>110.479370615513</c:v>
                </c:pt>
                <c:pt idx="1">
                  <c:v>106.465168539326</c:v>
                </c:pt>
                <c:pt idx="2">
                  <c:v>102.373046532046</c:v>
                </c:pt>
                <c:pt idx="3">
                  <c:v>103.282929220559</c:v>
                </c:pt>
                <c:pt idx="4">
                  <c:v>103.283686336693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Charts!A51</c:f>
              <c:strCache>
                <c:ptCount val="1"/>
                <c:pt idx="0">
                  <c:v>DPO</c:v>
                </c:pt>
              </c:strCache>
            </c:strRef>
          </c:tx>
          <c:spPr>
            <a:solidFill>
              <a:srgbClr val="898781"/>
            </a:solidFill>
            <a:ln w="28440">
              <a:solidFill>
                <a:srgbClr val="89878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Charts!$B$41:$F$41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Charts!$B$51:$F$51</c:f>
              <c:numCache>
                <c:formatCode>0.0</c:formatCode>
                <c:ptCount val="5"/>
                <c:pt idx="0">
                  <c:v>44.8022274186517</c:v>
                </c:pt>
                <c:pt idx="1">
                  <c:v>39.2445980985307</c:v>
                </c:pt>
                <c:pt idx="2">
                  <c:v>36.6153643546971</c:v>
                </c:pt>
                <c:pt idx="3">
                  <c:v>43.5621629774878</c:v>
                </c:pt>
                <c:pt idx="4">
                  <c:v>48.7755313927587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9093038"/>
        <c:axId val="12334236"/>
      </c:lineChart>
      <c:catAx>
        <c:axId val="890930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334236"/>
        <c:crosses val="autoZero"/>
        <c:auto val="1"/>
        <c:lblAlgn val="ctr"/>
        <c:lblOffset val="100"/>
        <c:noMultiLvlLbl val="0"/>
      </c:catAx>
      <c:valAx>
        <c:axId val="12334236"/>
        <c:scaling>
          <c:orientation val="minMax"/>
        </c:scaling>
        <c:delete val="0"/>
        <c:axPos val="l"/>
        <c:majorGridlines>
          <c:spPr>
            <a:ln w="936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930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 on equity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Charts!A52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rgbClr val="2a78d6"/>
            </a:solidFill>
            <a:ln w="2844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Charts!$B$41:$F$41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Charts!$B$52:$F$52</c:f>
              <c:numCache>
                <c:formatCode>0.0%;\(0.0%\);\-</c:formatCode>
                <c:ptCount val="5"/>
                <c:pt idx="0">
                  <c:v>0.431118083285796</c:v>
                </c:pt>
                <c:pt idx="1">
                  <c:v>0.346252347618235</c:v>
                </c:pt>
                <c:pt idx="2">
                  <c:v>0.40092846592108</c:v>
                </c:pt>
                <c:pt idx="3">
                  <c:v>0.232898021198857</c:v>
                </c:pt>
                <c:pt idx="4">
                  <c:v>0.221383289408078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2328476"/>
        <c:axId val="23635457"/>
      </c:lineChart>
      <c:catAx>
        <c:axId val="623284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635457"/>
        <c:crosses val="autoZero"/>
        <c:auto val="1"/>
        <c:lblAlgn val="ctr"/>
        <c:lblOffset val="100"/>
        <c:noMultiLvlLbl val="0"/>
      </c:catAx>
      <c:valAx>
        <c:axId val="23635457"/>
        <c:scaling>
          <c:orientation val="minMax"/>
        </c:scaling>
        <c:delete val="0"/>
        <c:axPos val="l"/>
        <c:majorGridlines>
          <c:spPr>
            <a:ln w="936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3284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Demand creation (marketing) as % of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Charts!A53</c:f>
              <c:strCache>
                <c:ptCount val="1"/>
                <c:pt idx="0">
                  <c:v>Demand creation %</c:v>
                </c:pt>
              </c:strCache>
            </c:strRef>
          </c:tx>
          <c:spPr>
            <a:solidFill>
              <a:srgbClr val="eb6834"/>
            </a:solidFill>
            <a:ln w="2844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Charts!$B$41:$F$41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Charts!$B$53:$F$53</c:f>
              <c:numCache>
                <c:formatCode>0.0%;\(0.0%\);\-</c:formatCode>
                <c:ptCount val="5"/>
                <c:pt idx="0">
                  <c:v>0.0824234639263541</c:v>
                </c:pt>
                <c:pt idx="1">
                  <c:v>0.0792705546986352</c:v>
                </c:pt>
                <c:pt idx="2">
                  <c:v>0.0834274366262996</c:v>
                </c:pt>
                <c:pt idx="3">
                  <c:v>0.101254615733443</c:v>
                </c:pt>
                <c:pt idx="4">
                  <c:v>0.102461312987629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840447"/>
        <c:axId val="11827858"/>
      </c:lineChart>
      <c:catAx>
        <c:axId val="184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27858"/>
        <c:crosses val="autoZero"/>
        <c:auto val="1"/>
        <c:lblAlgn val="ctr"/>
        <c:lblOffset val="100"/>
        <c:noMultiLvlLbl val="0"/>
      </c:catAx>
      <c:valAx>
        <c:axId val="11827858"/>
        <c:scaling>
          <c:orientation val="minMax"/>
        </c:scaling>
        <c:delete val="0"/>
        <c:axPos val="l"/>
        <c:majorGridlines>
          <c:spPr>
            <a:ln w="936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404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7</xdr:col>
      <xdr:colOff>461880</xdr:colOff>
      <xdr:row>17</xdr:row>
      <xdr:rowOff>2880</xdr:rowOff>
    </xdr:to>
    <xdr:graphicFrame>
      <xdr:nvGraphicFramePr>
        <xdr:cNvPr id="0" name="Chart 1"/>
        <xdr:cNvGraphicFramePr/>
      </xdr:nvGraphicFramePr>
      <xdr:xfrm>
        <a:off x="0" y="57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</xdr:row>
      <xdr:rowOff>160920</xdr:rowOff>
    </xdr:from>
    <xdr:to>
      <xdr:col>17</xdr:col>
      <xdr:colOff>507600</xdr:colOff>
      <xdr:row>17</xdr:row>
      <xdr:rowOff>2880</xdr:rowOff>
    </xdr:to>
    <xdr:graphicFrame>
      <xdr:nvGraphicFramePr>
        <xdr:cNvPr id="1" name="Chart 2"/>
        <xdr:cNvGraphicFramePr/>
      </xdr:nvGraphicFramePr>
      <xdr:xfrm>
        <a:off x="6160680" y="57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18</xdr:row>
      <xdr:rowOff>160560</xdr:rowOff>
    </xdr:from>
    <xdr:to>
      <xdr:col>7</xdr:col>
      <xdr:colOff>461880</xdr:colOff>
      <xdr:row>33</xdr:row>
      <xdr:rowOff>2880</xdr:rowOff>
    </xdr:to>
    <xdr:graphicFrame>
      <xdr:nvGraphicFramePr>
        <xdr:cNvPr id="2" name="Chart 3"/>
        <xdr:cNvGraphicFramePr/>
      </xdr:nvGraphicFramePr>
      <xdr:xfrm>
        <a:off x="0" y="3619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18</xdr:row>
      <xdr:rowOff>160560</xdr:rowOff>
    </xdr:from>
    <xdr:to>
      <xdr:col>17</xdr:col>
      <xdr:colOff>507600</xdr:colOff>
      <xdr:row>33</xdr:row>
      <xdr:rowOff>2880</xdr:rowOff>
    </xdr:to>
    <xdr:graphicFrame>
      <xdr:nvGraphicFramePr>
        <xdr:cNvPr id="3" name="Chart 4"/>
        <xdr:cNvGraphicFramePr/>
      </xdr:nvGraphicFramePr>
      <xdr:xfrm>
        <a:off x="6160680" y="3619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54</xdr:row>
      <xdr:rowOff>160560</xdr:rowOff>
    </xdr:from>
    <xdr:to>
      <xdr:col>7</xdr:col>
      <xdr:colOff>461880</xdr:colOff>
      <xdr:row>69</xdr:row>
      <xdr:rowOff>2880</xdr:rowOff>
    </xdr:to>
    <xdr:graphicFrame>
      <xdr:nvGraphicFramePr>
        <xdr:cNvPr id="4" name="Chart 5"/>
        <xdr:cNvGraphicFramePr/>
      </xdr:nvGraphicFramePr>
      <xdr:xfrm>
        <a:off x="0" y="10477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54</xdr:row>
      <xdr:rowOff>160560</xdr:rowOff>
    </xdr:from>
    <xdr:to>
      <xdr:col>17</xdr:col>
      <xdr:colOff>507600</xdr:colOff>
      <xdr:row>69</xdr:row>
      <xdr:rowOff>2880</xdr:rowOff>
    </xdr:to>
    <xdr:graphicFrame>
      <xdr:nvGraphicFramePr>
        <xdr:cNvPr id="5" name="Chart 6"/>
        <xdr:cNvGraphicFramePr/>
      </xdr:nvGraphicFramePr>
      <xdr:xfrm>
        <a:off x="6160680" y="10477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10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/>
      <c r="B7" s="4"/>
    </row>
    <row r="8" customFormat="false" ht="15" hidden="false" customHeight="false" outlineLevel="0" collapsed="false">
      <c r="A8" s="3" t="s">
        <v>8</v>
      </c>
      <c r="B8" s="4"/>
    </row>
    <row r="9" customFormat="false" ht="15" hidden="false" customHeight="false" outlineLevel="0" collapsed="false">
      <c r="A9" s="3" t="s">
        <v>9</v>
      </c>
      <c r="B9" s="4" t="s">
        <v>10</v>
      </c>
    </row>
    <row r="10" customFormat="false" ht="15" hidden="false" customHeight="false" outlineLevel="0" collapsed="false">
      <c r="A10" s="3" t="s">
        <v>11</v>
      </c>
      <c r="B10" s="4" t="s">
        <v>12</v>
      </c>
    </row>
    <row r="11" customFormat="false" ht="15" hidden="false" customHeight="false" outlineLevel="0" collapsed="false">
      <c r="A11" s="3" t="s">
        <v>13</v>
      </c>
      <c r="B11" s="4" t="s">
        <v>14</v>
      </c>
    </row>
    <row r="12" customFormat="false" ht="15" hidden="false" customHeight="false" outlineLevel="0" collapsed="false">
      <c r="A12" s="3" t="s">
        <v>15</v>
      </c>
      <c r="B12" s="4" t="s">
        <v>16</v>
      </c>
    </row>
    <row r="13" customFormat="false" ht="15" hidden="false" customHeight="false" outlineLevel="0" collapsed="false">
      <c r="A13" s="3" t="s">
        <v>17</v>
      </c>
      <c r="B13" s="4" t="s">
        <v>18</v>
      </c>
    </row>
    <row r="14" customFormat="false" ht="15" hidden="false" customHeight="false" outlineLevel="0" collapsed="false">
      <c r="A14" s="3" t="s">
        <v>19</v>
      </c>
      <c r="B14" s="4" t="s">
        <v>20</v>
      </c>
    </row>
    <row r="15" customFormat="false" ht="15" hidden="false" customHeight="false" outlineLevel="0" collapsed="false">
      <c r="A15" s="3"/>
      <c r="B15" s="4"/>
    </row>
    <row r="16" customFormat="false" ht="15" hidden="false" customHeight="false" outlineLevel="0" collapsed="false">
      <c r="A16" s="3" t="s">
        <v>21</v>
      </c>
      <c r="B16" s="4"/>
    </row>
    <row r="17" customFormat="false" ht="15" hidden="false" customHeight="false" outlineLevel="0" collapsed="false">
      <c r="A17" s="3" t="s">
        <v>22</v>
      </c>
      <c r="B17" s="5" t="s">
        <v>23</v>
      </c>
    </row>
    <row r="18" customFormat="false" ht="15" hidden="false" customHeight="false" outlineLevel="0" collapsed="false">
      <c r="A18" s="3" t="s">
        <v>24</v>
      </c>
      <c r="B18" s="4" t="s">
        <v>25</v>
      </c>
    </row>
    <row r="19" customFormat="false" ht="15" hidden="false" customHeight="false" outlineLevel="0" collapsed="false">
      <c r="A19" s="3" t="s">
        <v>26</v>
      </c>
      <c r="B19" s="6" t="s">
        <v>27</v>
      </c>
    </row>
    <row r="20" customFormat="false" ht="15" hidden="false" customHeight="false" outlineLevel="0" collapsed="false">
      <c r="A20" s="3"/>
      <c r="B20" s="4"/>
    </row>
    <row r="21" customFormat="false" ht="15" hidden="false" customHeight="false" outlineLevel="0" collapsed="false">
      <c r="A21" s="3" t="s">
        <v>28</v>
      </c>
      <c r="B21" s="7" t="str">
        <f aca="false">Checks!B19</f>
        <v>OK</v>
      </c>
    </row>
    <row r="22" customFormat="false" ht="15" hidden="false" customHeight="false" outlineLevel="0" collapsed="false">
      <c r="A22" s="3" t="s">
        <v>29</v>
      </c>
      <c r="B22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"/>
    <col collapsed="false" customWidth="true" hidden="false" outlineLevel="0" max="7" min="3" style="0" width="12"/>
    <col collapsed="false" customWidth="true" hidden="false" outlineLevel="0" max="9" min="8" style="0" width="14"/>
  </cols>
  <sheetData>
    <row r="1" customFormat="false" ht="17.35" hidden="false" customHeight="false" outlineLevel="0" collapsed="false">
      <c r="A1" s="8" t="s">
        <v>31</v>
      </c>
    </row>
    <row r="2" customFormat="false" ht="15" hidden="false" customHeight="false" outlineLevel="0" collapsed="false">
      <c r="A2" s="2" t="s">
        <v>32</v>
      </c>
    </row>
    <row r="4" customFormat="false" ht="15" hidden="false" customHeight="false" outlineLevel="0" collapsed="false">
      <c r="A4" s="9" t="s">
        <v>33</v>
      </c>
      <c r="B4" s="10"/>
      <c r="C4" s="11" t="s">
        <v>34</v>
      </c>
      <c r="D4" s="11" t="s">
        <v>35</v>
      </c>
      <c r="E4" s="11" t="s">
        <v>36</v>
      </c>
      <c r="F4" s="11" t="s">
        <v>37</v>
      </c>
      <c r="G4" s="11" t="s">
        <v>38</v>
      </c>
      <c r="H4" s="9" t="s">
        <v>39</v>
      </c>
    </row>
    <row r="5" customFormat="false" ht="15" hidden="false" customHeight="false" outlineLevel="0" collapsed="false">
      <c r="A5" s="4" t="s">
        <v>40</v>
      </c>
      <c r="C5" s="12" t="n">
        <f aca="false">'Income Statement'!C5</f>
        <v>46710</v>
      </c>
      <c r="D5" s="12" t="n">
        <f aca="false">'Income Statement'!D5</f>
        <v>51217</v>
      </c>
      <c r="E5" s="12" t="n">
        <f aca="false">'Income Statement'!E5</f>
        <v>51362</v>
      </c>
      <c r="F5" s="12" t="n">
        <f aca="false">'Income Statement'!F5</f>
        <v>46309</v>
      </c>
      <c r="G5" s="12" t="n">
        <f aca="false">'Income Statement'!G5</f>
        <v>46398</v>
      </c>
      <c r="H5" s="13" t="n">
        <f aca="false">(G5/C5)^(1/4)-1</f>
        <v>-0.00167407708187561</v>
      </c>
      <c r="I5" s="2" t="s">
        <v>41</v>
      </c>
    </row>
    <row r="6" customFormat="false" ht="15" hidden="false" customHeight="false" outlineLevel="0" collapsed="false">
      <c r="A6" s="4" t="s">
        <v>42</v>
      </c>
      <c r="C6" s="14" t="n">
        <f aca="false">Ratios!C6</f>
        <v>0.0487673447393238</v>
      </c>
      <c r="D6" s="14" t="n">
        <f aca="false">Ratios!D6</f>
        <v>0.0964889745236566</v>
      </c>
      <c r="E6" s="14" t="n">
        <f aca="false">Ratios!E6</f>
        <v>0.00283109123923708</v>
      </c>
      <c r="F6" s="14" t="n">
        <f aca="false">Ratios!F6</f>
        <v>-0.0983801253845256</v>
      </c>
      <c r="G6" s="14" t="n">
        <f aca="false">Ratios!G6</f>
        <v>0.00192187263814803</v>
      </c>
      <c r="H6" s="3"/>
      <c r="I6" s="2"/>
    </row>
    <row r="7" customFormat="false" ht="15" hidden="false" customHeight="false" outlineLevel="0" collapsed="false">
      <c r="A7" s="4" t="s">
        <v>43</v>
      </c>
      <c r="C7" s="14" t="n">
        <f aca="false">Ratios!C12</f>
        <v>0.45983729394134</v>
      </c>
      <c r="D7" s="14" t="n">
        <f aca="false">Ratios!D12</f>
        <v>0.435246109690142</v>
      </c>
      <c r="E7" s="14" t="n">
        <f aca="false">Ratios!E12</f>
        <v>0.445601806783225</v>
      </c>
      <c r="F7" s="14" t="n">
        <f aca="false">Ratios!F12</f>
        <v>0.427346736055626</v>
      </c>
      <c r="G7" s="14" t="n">
        <f aca="false">Ratios!G12</f>
        <v>0.429134876503298</v>
      </c>
      <c r="H7" s="15" t="n">
        <f aca="false">(G7-C7)*100</f>
        <v>-3.07024174380426</v>
      </c>
      <c r="I7" s="2"/>
    </row>
    <row r="8" customFormat="false" ht="15" hidden="false" customHeight="false" outlineLevel="0" collapsed="false">
      <c r="A8" s="4" t="s">
        <v>44</v>
      </c>
      <c r="C8" s="14" t="n">
        <f aca="false">Ratios!C15</f>
        <v>0.142903018625562</v>
      </c>
      <c r="D8" s="14" t="n">
        <f aca="false">Ratios!D15</f>
        <v>0.115488997793701</v>
      </c>
      <c r="E8" s="14" t="n">
        <f aca="false">Ratios!E15</f>
        <v>0.122872941084849</v>
      </c>
      <c r="F8" s="14" t="n">
        <f aca="false">Ratios!F15</f>
        <v>0.0799412641171263</v>
      </c>
      <c r="G8" s="14" t="n">
        <f aca="false">Ratios!G15</f>
        <v>0.0818354239406871</v>
      </c>
      <c r="H8" s="15" t="n">
        <f aca="false">(G8-C8)*100</f>
        <v>-6.10675946848749</v>
      </c>
      <c r="I8" s="2"/>
    </row>
    <row r="9" customFormat="false" ht="15" hidden="false" customHeight="false" outlineLevel="0" collapsed="false">
      <c r="A9" s="4" t="s">
        <v>45</v>
      </c>
      <c r="C9" s="12" t="n">
        <f aca="false">'Income Statement'!C16</f>
        <v>6046</v>
      </c>
      <c r="D9" s="12" t="n">
        <f aca="false">'Income Statement'!D16</f>
        <v>5070</v>
      </c>
      <c r="E9" s="12" t="n">
        <f aca="false">'Income Statement'!E16</f>
        <v>5700</v>
      </c>
      <c r="F9" s="12" t="n">
        <f aca="false">'Income Statement'!F16</f>
        <v>3219</v>
      </c>
      <c r="G9" s="12" t="n">
        <f aca="false">'Income Statement'!G16</f>
        <v>3108</v>
      </c>
      <c r="H9" s="13" t="n">
        <f aca="false">G9/C9-1</f>
        <v>-0.485941118094608</v>
      </c>
      <c r="I9" s="2"/>
    </row>
    <row r="10" customFormat="false" ht="15" hidden="false" customHeight="false" outlineLevel="0" collapsed="false">
      <c r="A10" s="4" t="s">
        <v>46</v>
      </c>
      <c r="C10" s="16" t="n">
        <f aca="false">'Income Statement'!C18</f>
        <v>3.75</v>
      </c>
      <c r="D10" s="16" t="n">
        <f aca="false">'Income Statement'!D18</f>
        <v>3.23</v>
      </c>
      <c r="E10" s="16" t="n">
        <f aca="false">'Income Statement'!E18</f>
        <v>3.73</v>
      </c>
      <c r="F10" s="16" t="n">
        <f aca="false">'Income Statement'!F18</f>
        <v>2.16</v>
      </c>
      <c r="G10" s="16" t="n">
        <f aca="false">'Income Statement'!G18</f>
        <v>2.1</v>
      </c>
      <c r="H10" s="13" t="n">
        <f aca="false">G10/C10-1</f>
        <v>-0.44</v>
      </c>
      <c r="I10" s="2"/>
    </row>
    <row r="11" customFormat="false" ht="15" hidden="false" customHeight="false" outlineLevel="0" collapsed="false">
      <c r="A11" s="4" t="s">
        <v>47</v>
      </c>
      <c r="C11" s="14" t="n">
        <f aca="false">Ratios!C19</f>
        <v>0.431118083285796</v>
      </c>
      <c r="D11" s="14" t="n">
        <f aca="false">Ratios!D19</f>
        <v>0.346252347618235</v>
      </c>
      <c r="E11" s="14" t="n">
        <f aca="false">Ratios!E19</f>
        <v>0.40092846592108</v>
      </c>
      <c r="F11" s="14" t="n">
        <f aca="false">Ratios!F19</f>
        <v>0.232898021198857</v>
      </c>
      <c r="G11" s="14" t="n">
        <f aca="false">Ratios!G19</f>
        <v>0.221383289408078</v>
      </c>
      <c r="H11" s="15" t="n">
        <f aca="false">(G11-C11)*100</f>
        <v>-20.9734793877718</v>
      </c>
      <c r="I11" s="2"/>
    </row>
    <row r="12" customFormat="false" ht="15" hidden="false" customHeight="false" outlineLevel="0" collapsed="false">
      <c r="A12" s="4" t="s">
        <v>48</v>
      </c>
      <c r="C12" s="17" t="n">
        <f aca="false">Ratios!C29</f>
        <v>2.62935694315005</v>
      </c>
      <c r="D12" s="17" t="n">
        <f aca="false">Ratios!D29</f>
        <v>2.72277441659464</v>
      </c>
      <c r="E12" s="17" t="n">
        <f aca="false">Ratios!E29</f>
        <v>2.39611063910129</v>
      </c>
      <c r="F12" s="17" t="n">
        <f aca="false">Ratios!F29</f>
        <v>2.21105432519402</v>
      </c>
      <c r="G12" s="17" t="n">
        <f aca="false">Ratios!G29</f>
        <v>1.96086713955527</v>
      </c>
      <c r="H12" s="3"/>
      <c r="I12" s="2"/>
    </row>
    <row r="13" customFormat="false" ht="15" hidden="false" customHeight="false" outlineLevel="0" collapsed="false">
      <c r="A13" s="4" t="s">
        <v>49</v>
      </c>
      <c r="C13" s="18" t="n">
        <f aca="false">Ratios!C37</f>
        <v>101.348840906131</v>
      </c>
      <c r="D13" s="18" t="n">
        <f aca="false">Ratios!D37</f>
        <v>98.5702199712245</v>
      </c>
      <c r="E13" s="18" t="n">
        <f aca="false">Ratios!E37</f>
        <v>96.1660580194108</v>
      </c>
      <c r="F13" s="18" t="n">
        <f aca="false">Ratios!F37</f>
        <v>95.7565260305853</v>
      </c>
      <c r="G13" s="18" t="n">
        <f aca="false">Ratios!G37</f>
        <v>96.3905636684488</v>
      </c>
      <c r="H13" s="3"/>
      <c r="I13" s="2"/>
    </row>
    <row r="14" customFormat="false" ht="15" hidden="false" customHeight="false" outlineLevel="0" collapsed="false">
      <c r="A14" s="4" t="s">
        <v>50</v>
      </c>
      <c r="C14" s="12" t="n">
        <f aca="false">Ratios!C44</f>
        <v>3567</v>
      </c>
      <c r="D14" s="12" t="n">
        <f aca="false">Ratios!D44</f>
        <v>1742</v>
      </c>
      <c r="E14" s="12" t="n">
        <f aca="false">Ratios!E44</f>
        <v>2673</v>
      </c>
      <c r="F14" s="12" t="n">
        <f aca="false">Ratios!F44</f>
        <v>1185</v>
      </c>
      <c r="G14" s="12" t="n">
        <f aca="false">Ratios!G44</f>
        <v>1085</v>
      </c>
      <c r="H14" s="13" t="n">
        <f aca="false">G14/C14-1</f>
        <v>-0.695822820297169</v>
      </c>
      <c r="I14" s="2"/>
    </row>
    <row r="15" customFormat="false" ht="15" hidden="false" customHeight="false" outlineLevel="0" collapsed="false">
      <c r="A15" s="4" t="s">
        <v>51</v>
      </c>
      <c r="C15" s="12" t="n">
        <f aca="false">Ratios!C52</f>
        <v>4430</v>
      </c>
      <c r="D15" s="12" t="n">
        <f aca="false">Ratios!D52</f>
        <v>4872</v>
      </c>
      <c r="E15" s="12" t="n">
        <f aca="false">Ratios!E52</f>
        <v>6617</v>
      </c>
      <c r="F15" s="12" t="n">
        <f aca="false">Ratios!F52</f>
        <v>3268</v>
      </c>
      <c r="G15" s="12" t="n">
        <f aca="false">Ratios!G52</f>
        <v>2184</v>
      </c>
      <c r="H15" s="13" t="n">
        <f aca="false">G15/C15-1</f>
        <v>-0.506997742663657</v>
      </c>
      <c r="I15" s="2"/>
    </row>
    <row r="16" customFormat="false" ht="15" hidden="false" customHeight="false" outlineLevel="0" collapsed="false">
      <c r="A16" s="4" t="s">
        <v>52</v>
      </c>
      <c r="C16" s="12" t="n">
        <f aca="false">Ratios!C57</f>
        <v>5851</v>
      </c>
      <c r="D16" s="12" t="n">
        <f aca="false">Ratios!D57</f>
        <v>7492</v>
      </c>
      <c r="E16" s="12" t="n">
        <f aca="false">Ratios!E57</f>
        <v>6419</v>
      </c>
      <c r="F16" s="12" t="n">
        <f aca="false">Ratios!F57</f>
        <v>5285</v>
      </c>
      <c r="G16" s="12" t="n">
        <f aca="false">Ratios!G57</f>
        <v>2553</v>
      </c>
      <c r="H16" s="3"/>
      <c r="I16" s="2"/>
    </row>
    <row r="18" customFormat="false" ht="15" hidden="false" customHeight="false" outlineLevel="0" collapsed="false">
      <c r="A18" s="3" t="s">
        <v>28</v>
      </c>
      <c r="C18" s="6" t="str">
        <f aca="false">Checks!B19</f>
        <v>OK</v>
      </c>
    </row>
    <row r="20" customFormat="false" ht="15" hidden="false" customHeight="false" outlineLevel="0" collapsed="false">
      <c r="A20" s="19" t="s">
        <v>53</v>
      </c>
      <c r="B20" s="20"/>
      <c r="C20" s="20"/>
      <c r="D20" s="20"/>
      <c r="E20" s="20"/>
      <c r="F20" s="20"/>
      <c r="G20" s="20"/>
      <c r="H20" s="20"/>
      <c r="I20" s="20"/>
    </row>
    <row r="21" customFormat="false" ht="30" hidden="false" customHeight="true" outlineLevel="0" collapsed="false">
      <c r="A21" s="21" t="s">
        <v>54</v>
      </c>
      <c r="B21" s="21"/>
      <c r="C21" s="21"/>
      <c r="D21" s="21"/>
      <c r="E21" s="21"/>
      <c r="F21" s="21"/>
      <c r="G21" s="21"/>
      <c r="H21" s="21"/>
      <c r="I21" s="21"/>
    </row>
    <row r="22" customFormat="false" ht="30" hidden="false" customHeight="true" outlineLevel="0" collapsed="false">
      <c r="A22" s="21" t="s">
        <v>55</v>
      </c>
      <c r="B22" s="21"/>
      <c r="C22" s="21"/>
      <c r="D22" s="21"/>
      <c r="E22" s="21"/>
      <c r="F22" s="21"/>
      <c r="G22" s="21"/>
      <c r="H22" s="21"/>
      <c r="I22" s="21"/>
    </row>
    <row r="23" customFormat="false" ht="30" hidden="false" customHeight="true" outlineLevel="0" collapsed="false">
      <c r="A23" s="21" t="s">
        <v>56</v>
      </c>
      <c r="B23" s="21"/>
      <c r="C23" s="21"/>
      <c r="D23" s="21"/>
      <c r="E23" s="21"/>
      <c r="F23" s="21"/>
      <c r="G23" s="21"/>
      <c r="H23" s="21"/>
      <c r="I23" s="21"/>
    </row>
    <row r="24" customFormat="false" ht="30" hidden="false" customHeight="true" outlineLevel="0" collapsed="false">
      <c r="A24" s="21" t="s">
        <v>57</v>
      </c>
      <c r="B24" s="21"/>
      <c r="C24" s="21"/>
      <c r="D24" s="21"/>
      <c r="E24" s="21"/>
      <c r="F24" s="21"/>
      <c r="G24" s="21"/>
      <c r="H24" s="21"/>
      <c r="I24" s="21"/>
    </row>
    <row r="25" customFormat="false" ht="30" hidden="false" customHeight="true" outlineLevel="0" collapsed="false">
      <c r="A25" s="21" t="s">
        <v>58</v>
      </c>
      <c r="B25" s="21"/>
      <c r="C25" s="21"/>
      <c r="D25" s="21"/>
      <c r="E25" s="21"/>
      <c r="F25" s="21"/>
      <c r="G25" s="21"/>
      <c r="H25" s="21"/>
      <c r="I25" s="21"/>
    </row>
    <row r="26" customFormat="false" ht="30" hidden="false" customHeight="true" outlineLevel="0" collapsed="false">
      <c r="A26" s="21" t="s">
        <v>59</v>
      </c>
      <c r="B26" s="21"/>
      <c r="C26" s="21"/>
      <c r="D26" s="21"/>
      <c r="E26" s="21"/>
      <c r="F26" s="21"/>
      <c r="G26" s="21"/>
      <c r="H26" s="21"/>
      <c r="I26" s="21"/>
    </row>
    <row r="27" customFormat="false" ht="30" hidden="false" customHeight="true" outlineLevel="0" collapsed="false">
      <c r="A27" s="21" t="s">
        <v>60</v>
      </c>
      <c r="B27" s="21"/>
      <c r="C27" s="21"/>
      <c r="D27" s="21"/>
      <c r="E27" s="21"/>
      <c r="F27" s="21"/>
      <c r="G27" s="21"/>
      <c r="H27" s="21"/>
      <c r="I27" s="21"/>
    </row>
    <row r="28" customFormat="false" ht="30" hidden="false" customHeight="true" outlineLevel="0" collapsed="false">
      <c r="A28" s="22" t="s">
        <v>61</v>
      </c>
      <c r="B28" s="22"/>
      <c r="C28" s="22"/>
      <c r="D28" s="22"/>
      <c r="E28" s="22"/>
      <c r="F28" s="22"/>
      <c r="G28" s="22"/>
      <c r="H28" s="22"/>
      <c r="I28" s="22"/>
    </row>
  </sheetData>
  <mergeCells count="8">
    <mergeCell ref="A21:I21"/>
    <mergeCell ref="A22:I22"/>
    <mergeCell ref="A23:I23"/>
    <mergeCell ref="A24:I24"/>
    <mergeCell ref="A25:I25"/>
    <mergeCell ref="A26:I26"/>
    <mergeCell ref="A27:I27"/>
    <mergeCell ref="A28:I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</cols>
  <sheetData>
    <row r="1" customFormat="false" ht="17.35" hidden="false" customHeight="false" outlineLevel="0" collapsed="false">
      <c r="A1" s="8" t="s">
        <v>11</v>
      </c>
    </row>
    <row r="2" customFormat="false" ht="15" hidden="false" customHeight="false" outlineLevel="0" collapsed="false">
      <c r="A2" s="2" t="s">
        <v>62</v>
      </c>
    </row>
    <row r="40" customFormat="false" ht="15" hidden="false" customHeight="false" outlineLevel="0" collapsed="false">
      <c r="A40" s="23" t="s">
        <v>63</v>
      </c>
    </row>
    <row r="41" customFormat="false" ht="15" hidden="false" customHeight="false" outlineLevel="0" collapsed="false">
      <c r="A41" s="4" t="s">
        <v>64</v>
      </c>
      <c r="B41" s="3" t="s">
        <v>34</v>
      </c>
      <c r="C41" s="3" t="s">
        <v>35</v>
      </c>
      <c r="D41" s="3" t="s">
        <v>36</v>
      </c>
      <c r="E41" s="3" t="s">
        <v>37</v>
      </c>
      <c r="F41" s="3" t="s">
        <v>38</v>
      </c>
    </row>
    <row r="42" customFormat="false" ht="15" hidden="false" customHeight="false" outlineLevel="0" collapsed="false">
      <c r="A42" s="4" t="s">
        <v>40</v>
      </c>
      <c r="B42" s="12" t="n">
        <f aca="false">Summary!C5</f>
        <v>46710</v>
      </c>
      <c r="C42" s="12" t="n">
        <f aca="false">Summary!D5</f>
        <v>51217</v>
      </c>
      <c r="D42" s="12" t="n">
        <f aca="false">Summary!E5</f>
        <v>51362</v>
      </c>
      <c r="E42" s="12" t="n">
        <f aca="false">Summary!F5</f>
        <v>46309</v>
      </c>
      <c r="F42" s="12" t="n">
        <f aca="false">Summary!G5</f>
        <v>46398</v>
      </c>
    </row>
    <row r="43" customFormat="false" ht="15" hidden="false" customHeight="false" outlineLevel="0" collapsed="false">
      <c r="A43" s="4" t="s">
        <v>45</v>
      </c>
      <c r="B43" s="12" t="n">
        <f aca="false">Summary!C9</f>
        <v>6046</v>
      </c>
      <c r="C43" s="12" t="n">
        <f aca="false">Summary!D9</f>
        <v>5070</v>
      </c>
      <c r="D43" s="12" t="n">
        <f aca="false">Summary!E9</f>
        <v>5700</v>
      </c>
      <c r="E43" s="12" t="n">
        <f aca="false">Summary!F9</f>
        <v>3219</v>
      </c>
      <c r="F43" s="12" t="n">
        <f aca="false">Summary!G9</f>
        <v>3108</v>
      </c>
    </row>
    <row r="44" customFormat="false" ht="15" hidden="false" customHeight="false" outlineLevel="0" collapsed="false">
      <c r="A44" s="4" t="s">
        <v>43</v>
      </c>
      <c r="B44" s="14" t="n">
        <f aca="false">Ratios!C12</f>
        <v>0.45983729394134</v>
      </c>
      <c r="C44" s="14" t="n">
        <f aca="false">Ratios!D12</f>
        <v>0.435246109690142</v>
      </c>
      <c r="D44" s="14" t="n">
        <f aca="false">Ratios!E12</f>
        <v>0.445601806783225</v>
      </c>
      <c r="E44" s="14" t="n">
        <f aca="false">Ratios!F12</f>
        <v>0.427346736055626</v>
      </c>
      <c r="F44" s="14" t="n">
        <f aca="false">Ratios!G12</f>
        <v>0.429134876503298</v>
      </c>
    </row>
    <row r="45" customFormat="false" ht="15" hidden="false" customHeight="false" outlineLevel="0" collapsed="false">
      <c r="A45" s="4" t="s">
        <v>65</v>
      </c>
      <c r="B45" s="14" t="n">
        <f aca="false">Ratios!C15</f>
        <v>0.142903018625562</v>
      </c>
      <c r="C45" s="14" t="n">
        <f aca="false">Ratios!D15</f>
        <v>0.115488997793701</v>
      </c>
      <c r="D45" s="14" t="n">
        <f aca="false">Ratios!E15</f>
        <v>0.122872941084849</v>
      </c>
      <c r="E45" s="14" t="n">
        <f aca="false">Ratios!F15</f>
        <v>0.0799412641171263</v>
      </c>
      <c r="F45" s="14" t="n">
        <f aca="false">Ratios!G15</f>
        <v>0.0818354239406871</v>
      </c>
    </row>
    <row r="46" customFormat="false" ht="15" hidden="false" customHeight="false" outlineLevel="0" collapsed="false">
      <c r="A46" s="4" t="s">
        <v>66</v>
      </c>
      <c r="B46" s="14" t="n">
        <f aca="false">Ratios!C17</f>
        <v>0.129436951402269</v>
      </c>
      <c r="C46" s="14" t="n">
        <f aca="false">Ratios!D17</f>
        <v>0.0989905695374583</v>
      </c>
      <c r="D46" s="14" t="n">
        <f aca="false">Ratios!E17</f>
        <v>0.110976986877458</v>
      </c>
      <c r="E46" s="14" t="n">
        <f aca="false">Ratios!F17</f>
        <v>0.0695113260921203</v>
      </c>
      <c r="F46" s="14" t="n">
        <f aca="false">Ratios!G17</f>
        <v>0.0669856459330144</v>
      </c>
    </row>
    <row r="47" customFormat="false" ht="15" hidden="false" customHeight="false" outlineLevel="0" collapsed="false">
      <c r="A47" s="4" t="s">
        <v>51</v>
      </c>
      <c r="B47" s="12" t="n">
        <f aca="false">Ratios!C52</f>
        <v>4430</v>
      </c>
      <c r="C47" s="12" t="n">
        <f aca="false">Ratios!D52</f>
        <v>4872</v>
      </c>
      <c r="D47" s="12" t="n">
        <f aca="false">Ratios!E52</f>
        <v>6617</v>
      </c>
      <c r="E47" s="12" t="n">
        <f aca="false">Ratios!F52</f>
        <v>3268</v>
      </c>
      <c r="F47" s="12" t="n">
        <f aca="false">Ratios!G52</f>
        <v>2184</v>
      </c>
    </row>
    <row r="48" customFormat="false" ht="15" hidden="false" customHeight="false" outlineLevel="0" collapsed="false">
      <c r="A48" s="4" t="s">
        <v>67</v>
      </c>
      <c r="B48" s="12" t="n">
        <f aca="false">Ratios!C57</f>
        <v>5851</v>
      </c>
      <c r="C48" s="12" t="n">
        <f aca="false">Ratios!D57</f>
        <v>7492</v>
      </c>
      <c r="D48" s="12" t="n">
        <f aca="false">Ratios!E57</f>
        <v>6419</v>
      </c>
      <c r="E48" s="12" t="n">
        <f aca="false">Ratios!F57</f>
        <v>5285</v>
      </c>
      <c r="F48" s="12" t="n">
        <f aca="false">Ratios!G57</f>
        <v>2553</v>
      </c>
    </row>
    <row r="49" customFormat="false" ht="15" hidden="false" customHeight="false" outlineLevel="0" collapsed="false">
      <c r="A49" s="4" t="s">
        <v>68</v>
      </c>
      <c r="B49" s="18" t="n">
        <f aca="false">Ratios!C34</f>
        <v>35.67169770927</v>
      </c>
      <c r="C49" s="18" t="n">
        <f aca="false">Ratios!D34</f>
        <v>31.3496495304293</v>
      </c>
      <c r="D49" s="18" t="n">
        <f aca="false">Ratios!E34</f>
        <v>30.4083758420622</v>
      </c>
      <c r="E49" s="18" t="n">
        <f aca="false">Ratios!F34</f>
        <v>36.0357597875143</v>
      </c>
      <c r="F49" s="18" t="n">
        <f aca="false">Ratios!G34</f>
        <v>41.882408724514</v>
      </c>
    </row>
    <row r="50" customFormat="false" ht="15" hidden="false" customHeight="false" outlineLevel="0" collapsed="false">
      <c r="A50" s="4" t="s">
        <v>69</v>
      </c>
      <c r="B50" s="18" t="n">
        <f aca="false">Ratios!C35</f>
        <v>110.479370615513</v>
      </c>
      <c r="C50" s="18" t="n">
        <f aca="false">Ratios!D35</f>
        <v>106.465168539326</v>
      </c>
      <c r="D50" s="18" t="n">
        <f aca="false">Ratios!E35</f>
        <v>102.373046532046</v>
      </c>
      <c r="E50" s="18" t="n">
        <f aca="false">Ratios!F35</f>
        <v>103.282929220559</v>
      </c>
      <c r="F50" s="18" t="n">
        <f aca="false">Ratios!G35</f>
        <v>103.283686336693</v>
      </c>
    </row>
    <row r="51" customFormat="false" ht="15" hidden="false" customHeight="false" outlineLevel="0" collapsed="false">
      <c r="A51" s="4" t="s">
        <v>70</v>
      </c>
      <c r="B51" s="18" t="n">
        <f aca="false">Ratios!C36</f>
        <v>44.8022274186517</v>
      </c>
      <c r="C51" s="18" t="n">
        <f aca="false">Ratios!D36</f>
        <v>39.2445980985307</v>
      </c>
      <c r="D51" s="18" t="n">
        <f aca="false">Ratios!E36</f>
        <v>36.6153643546971</v>
      </c>
      <c r="E51" s="18" t="n">
        <f aca="false">Ratios!F36</f>
        <v>43.5621629774878</v>
      </c>
      <c r="F51" s="18" t="n">
        <f aca="false">Ratios!G36</f>
        <v>48.7755313927587</v>
      </c>
    </row>
    <row r="52" customFormat="false" ht="15" hidden="false" customHeight="false" outlineLevel="0" collapsed="false">
      <c r="A52" s="4" t="s">
        <v>71</v>
      </c>
      <c r="B52" s="14" t="n">
        <f aca="false">Ratios!C19</f>
        <v>0.431118083285796</v>
      </c>
      <c r="C52" s="14" t="n">
        <f aca="false">Ratios!D19</f>
        <v>0.346252347618235</v>
      </c>
      <c r="D52" s="14" t="n">
        <f aca="false">Ratios!E19</f>
        <v>0.40092846592108</v>
      </c>
      <c r="E52" s="14" t="n">
        <f aca="false">Ratios!F19</f>
        <v>0.232898021198857</v>
      </c>
      <c r="F52" s="14" t="n">
        <f aca="false">Ratios!G19</f>
        <v>0.221383289408078</v>
      </c>
    </row>
    <row r="53" customFormat="false" ht="15" hidden="false" customHeight="false" outlineLevel="0" collapsed="false">
      <c r="A53" s="4" t="s">
        <v>72</v>
      </c>
      <c r="B53" s="14" t="n">
        <f aca="false">Ratios!C13</f>
        <v>0.0824234639263541</v>
      </c>
      <c r="C53" s="14" t="n">
        <f aca="false">Ratios!D13</f>
        <v>0.0792705546986352</v>
      </c>
      <c r="D53" s="14" t="n">
        <f aca="false">Ratios!E13</f>
        <v>0.0834274366262996</v>
      </c>
      <c r="E53" s="14" t="n">
        <f aca="false">Ratios!F13</f>
        <v>0.101254615733443</v>
      </c>
      <c r="F53" s="14" t="n">
        <f aca="false">Ratios!G13</f>
        <v>0.102461312987629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8" t="s">
        <v>73</v>
      </c>
    </row>
    <row r="2" customFormat="false" ht="15" hidden="false" customHeight="false" outlineLevel="0" collapsed="false">
      <c r="A2" s="2" t="s">
        <v>74</v>
      </c>
    </row>
    <row r="3" customFormat="false" ht="15" hidden="false" customHeight="false" outlineLevel="0" collapsed="false">
      <c r="B3" s="2" t="s">
        <v>75</v>
      </c>
    </row>
    <row r="4" customFormat="false" ht="15" hidden="false" customHeight="false" outlineLevel="0" collapsed="false">
      <c r="A4" s="9" t="s">
        <v>33</v>
      </c>
      <c r="B4" s="11" t="s">
        <v>76</v>
      </c>
      <c r="C4" s="11" t="s">
        <v>34</v>
      </c>
      <c r="D4" s="11" t="s">
        <v>35</v>
      </c>
      <c r="E4" s="11" t="s">
        <v>36</v>
      </c>
      <c r="F4" s="11" t="s">
        <v>37</v>
      </c>
      <c r="G4" s="11" t="s">
        <v>38</v>
      </c>
    </row>
    <row r="5" customFormat="false" ht="15" hidden="false" customHeight="false" outlineLevel="0" collapsed="false">
      <c r="A5" s="4" t="s">
        <v>77</v>
      </c>
      <c r="B5" s="24" t="n">
        <v>44538</v>
      </c>
      <c r="C5" s="25" t="n">
        <v>46710</v>
      </c>
      <c r="D5" s="25" t="n">
        <v>51217</v>
      </c>
      <c r="E5" s="25" t="n">
        <v>51362</v>
      </c>
      <c r="F5" s="25" t="n">
        <v>46309</v>
      </c>
      <c r="G5" s="25" t="n">
        <v>46398</v>
      </c>
    </row>
    <row r="6" customFormat="false" ht="15" hidden="false" customHeight="false" outlineLevel="0" collapsed="false">
      <c r="A6" s="4" t="s">
        <v>78</v>
      </c>
      <c r="B6" s="24" t="n">
        <v>24576</v>
      </c>
      <c r="C6" s="25" t="n">
        <v>25231</v>
      </c>
      <c r="D6" s="25" t="n">
        <v>28925</v>
      </c>
      <c r="E6" s="25" t="n">
        <v>28475</v>
      </c>
      <c r="F6" s="25" t="n">
        <v>26519</v>
      </c>
      <c r="G6" s="25" t="n">
        <v>26487</v>
      </c>
    </row>
    <row r="7" customFormat="false" ht="15" hidden="false" customHeight="false" outlineLevel="0" collapsed="false">
      <c r="A7" s="3" t="s">
        <v>79</v>
      </c>
      <c r="B7" s="26" t="n">
        <f aca="false">B5-B6</f>
        <v>19962</v>
      </c>
      <c r="C7" s="27" t="n">
        <f aca="false">C5-C6</f>
        <v>21479</v>
      </c>
      <c r="D7" s="27" t="n">
        <f aca="false">D5-D6</f>
        <v>22292</v>
      </c>
      <c r="E7" s="27" t="n">
        <f aca="false">E5-E6</f>
        <v>22887</v>
      </c>
      <c r="F7" s="27" t="n">
        <f aca="false">F5-F6</f>
        <v>19790</v>
      </c>
      <c r="G7" s="27" t="n">
        <f aca="false">G5-G6</f>
        <v>19911</v>
      </c>
    </row>
    <row r="8" customFormat="false" ht="15" hidden="false" customHeight="false" outlineLevel="0" collapsed="false">
      <c r="A8" s="4" t="s">
        <v>80</v>
      </c>
      <c r="B8" s="24" t="n">
        <v>3114</v>
      </c>
      <c r="C8" s="25" t="n">
        <v>3850</v>
      </c>
      <c r="D8" s="25" t="n">
        <v>4060</v>
      </c>
      <c r="E8" s="25" t="n">
        <v>4285</v>
      </c>
      <c r="F8" s="25" t="n">
        <v>4689</v>
      </c>
      <c r="G8" s="25" t="n">
        <v>4754</v>
      </c>
    </row>
    <row r="9" customFormat="false" ht="15" hidden="false" customHeight="false" outlineLevel="0" collapsed="false">
      <c r="A9" s="4" t="s">
        <v>81</v>
      </c>
      <c r="B9" s="24" t="n">
        <v>9911</v>
      </c>
      <c r="C9" s="25" t="n">
        <v>10954</v>
      </c>
      <c r="D9" s="25" t="n">
        <v>12317</v>
      </c>
      <c r="E9" s="25" t="n">
        <v>12291</v>
      </c>
      <c r="F9" s="25" t="n">
        <v>11399</v>
      </c>
      <c r="G9" s="25" t="n">
        <v>11360</v>
      </c>
    </row>
    <row r="10" customFormat="false" ht="15" hidden="false" customHeight="false" outlineLevel="0" collapsed="false">
      <c r="A10" s="3" t="s">
        <v>82</v>
      </c>
      <c r="B10" s="26" t="n">
        <f aca="false">B8+B9</f>
        <v>13025</v>
      </c>
      <c r="C10" s="27" t="n">
        <f aca="false">C8+C9</f>
        <v>14804</v>
      </c>
      <c r="D10" s="27" t="n">
        <f aca="false">D8+D9</f>
        <v>16377</v>
      </c>
      <c r="E10" s="27" t="n">
        <f aca="false">E8+E9</f>
        <v>16576</v>
      </c>
      <c r="F10" s="27" t="n">
        <f aca="false">F8+F9</f>
        <v>16088</v>
      </c>
      <c r="G10" s="27" t="n">
        <f aca="false">G8+G9</f>
        <v>16114</v>
      </c>
    </row>
    <row r="11" customFormat="false" ht="15" hidden="false" customHeight="false" outlineLevel="0" collapsed="false">
      <c r="A11" s="3" t="s">
        <v>83</v>
      </c>
      <c r="B11" s="26" t="n">
        <f aca="false">B7-B10</f>
        <v>6937</v>
      </c>
      <c r="C11" s="27" t="n">
        <f aca="false">C7-C10</f>
        <v>6675</v>
      </c>
      <c r="D11" s="27" t="n">
        <f aca="false">D7-D10</f>
        <v>5915</v>
      </c>
      <c r="E11" s="27" t="n">
        <f aca="false">E7-E10</f>
        <v>6311</v>
      </c>
      <c r="F11" s="27" t="n">
        <f aca="false">F7-F10</f>
        <v>3702</v>
      </c>
      <c r="G11" s="27" t="n">
        <f aca="false">G7-G10</f>
        <v>3797</v>
      </c>
    </row>
    <row r="12" customFormat="false" ht="15" hidden="false" customHeight="false" outlineLevel="0" collapsed="false">
      <c r="A12" s="4" t="s">
        <v>84</v>
      </c>
      <c r="B12" s="24" t="n">
        <v>262</v>
      </c>
      <c r="C12" s="25" t="n">
        <v>205</v>
      </c>
      <c r="D12" s="25" t="n">
        <v>-6</v>
      </c>
      <c r="E12" s="25" t="n">
        <v>-161</v>
      </c>
      <c r="F12" s="25" t="n">
        <v>-107</v>
      </c>
      <c r="G12" s="25" t="n">
        <v>-50</v>
      </c>
    </row>
    <row r="13" customFormat="false" ht="15" hidden="false" customHeight="false" outlineLevel="0" collapsed="false">
      <c r="A13" s="4" t="s">
        <v>85</v>
      </c>
      <c r="B13" s="24" t="n">
        <v>14</v>
      </c>
      <c r="C13" s="25" t="n">
        <v>-181</v>
      </c>
      <c r="D13" s="25" t="n">
        <v>-280</v>
      </c>
      <c r="E13" s="25" t="n">
        <v>-228</v>
      </c>
      <c r="F13" s="25" t="n">
        <v>-76</v>
      </c>
      <c r="G13" s="25" t="n">
        <v>-53</v>
      </c>
    </row>
    <row r="14" customFormat="false" ht="15" hidden="false" customHeight="false" outlineLevel="0" collapsed="false">
      <c r="A14" s="3" t="s">
        <v>86</v>
      </c>
      <c r="B14" s="26" t="n">
        <f aca="false">B11-B12-B13</f>
        <v>6661</v>
      </c>
      <c r="C14" s="27" t="n">
        <f aca="false">C11-C12-C13</f>
        <v>6651</v>
      </c>
      <c r="D14" s="27" t="n">
        <f aca="false">D11-D12-D13</f>
        <v>6201</v>
      </c>
      <c r="E14" s="27" t="n">
        <f aca="false">E11-E12-E13</f>
        <v>6700</v>
      </c>
      <c r="F14" s="27" t="n">
        <f aca="false">F11-F12-F13</f>
        <v>3885</v>
      </c>
      <c r="G14" s="27" t="n">
        <f aca="false">G11-G12-G13</f>
        <v>3900</v>
      </c>
    </row>
    <row r="15" customFormat="false" ht="15" hidden="false" customHeight="false" outlineLevel="0" collapsed="false">
      <c r="A15" s="4" t="s">
        <v>87</v>
      </c>
      <c r="B15" s="24" t="n">
        <v>934</v>
      </c>
      <c r="C15" s="25" t="n">
        <v>605</v>
      </c>
      <c r="D15" s="25" t="n">
        <v>1131</v>
      </c>
      <c r="E15" s="25" t="n">
        <v>1000</v>
      </c>
      <c r="F15" s="25" t="n">
        <v>666</v>
      </c>
      <c r="G15" s="25" t="n">
        <v>792</v>
      </c>
    </row>
    <row r="16" customFormat="false" ht="15" hidden="false" customHeight="false" outlineLevel="0" collapsed="false">
      <c r="A16" s="3" t="s">
        <v>45</v>
      </c>
      <c r="B16" s="28" t="n">
        <f aca="false">B14-B15</f>
        <v>5727</v>
      </c>
      <c r="C16" s="29" t="n">
        <f aca="false">C14-C15</f>
        <v>6046</v>
      </c>
      <c r="D16" s="29" t="n">
        <f aca="false">D14-D15</f>
        <v>5070</v>
      </c>
      <c r="E16" s="29" t="n">
        <f aca="false">E14-E15</f>
        <v>5700</v>
      </c>
      <c r="F16" s="29" t="n">
        <f aca="false">F14-F15</f>
        <v>3219</v>
      </c>
      <c r="G16" s="29" t="n">
        <f aca="false">G14-G15</f>
        <v>3108</v>
      </c>
    </row>
    <row r="17" customFormat="false" ht="15" hidden="false" customHeight="false" outlineLevel="0" collapsed="false">
      <c r="B17" s="30"/>
    </row>
    <row r="18" customFormat="false" ht="15" hidden="false" customHeight="false" outlineLevel="0" collapsed="false">
      <c r="A18" s="4" t="s">
        <v>46</v>
      </c>
      <c r="B18" s="31" t="n">
        <v>3.56</v>
      </c>
      <c r="C18" s="32" t="n">
        <v>3.75</v>
      </c>
      <c r="D18" s="32" t="n">
        <v>3.23</v>
      </c>
      <c r="E18" s="32" t="n">
        <v>3.73</v>
      </c>
      <c r="F18" s="32" t="n">
        <v>2.16</v>
      </c>
      <c r="G18" s="32" t="n">
        <v>2.1</v>
      </c>
    </row>
    <row r="19" customFormat="false" ht="15" hidden="false" customHeight="false" outlineLevel="0" collapsed="false">
      <c r="A19" s="4" t="s">
        <v>88</v>
      </c>
      <c r="B19" s="33" t="n">
        <v>1609.4</v>
      </c>
      <c r="C19" s="34" t="n">
        <v>1610.8</v>
      </c>
      <c r="D19" s="34" t="n">
        <v>1569.8</v>
      </c>
      <c r="E19" s="34" t="n">
        <v>1529.7</v>
      </c>
      <c r="F19" s="34" t="n">
        <v>1487.6</v>
      </c>
      <c r="G19" s="34" t="n">
        <v>1481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8" t="s">
        <v>89</v>
      </c>
    </row>
    <row r="2" customFormat="false" ht="15" hidden="false" customHeight="false" outlineLevel="0" collapsed="false">
      <c r="A2" s="2" t="s">
        <v>90</v>
      </c>
    </row>
    <row r="3" customFormat="false" ht="15" hidden="false" customHeight="false" outlineLevel="0" collapsed="false">
      <c r="B3" s="2" t="s">
        <v>75</v>
      </c>
    </row>
    <row r="4" customFormat="false" ht="15" hidden="false" customHeight="false" outlineLevel="0" collapsed="false">
      <c r="A4" s="9" t="s">
        <v>33</v>
      </c>
      <c r="B4" s="11" t="s">
        <v>76</v>
      </c>
      <c r="C4" s="11" t="s">
        <v>34</v>
      </c>
      <c r="D4" s="11" t="s">
        <v>35</v>
      </c>
      <c r="E4" s="11" t="s">
        <v>36</v>
      </c>
      <c r="F4" s="11" t="s">
        <v>37</v>
      </c>
      <c r="G4" s="11" t="s">
        <v>38</v>
      </c>
    </row>
    <row r="5" customFormat="false" ht="15" hidden="false" customHeight="false" outlineLevel="0" collapsed="false">
      <c r="A5" s="19" t="s">
        <v>91</v>
      </c>
      <c r="B5" s="30"/>
      <c r="C5" s="20"/>
      <c r="D5" s="20"/>
      <c r="E5" s="20"/>
      <c r="F5" s="20"/>
      <c r="G5" s="20"/>
    </row>
    <row r="6" customFormat="false" ht="15" hidden="false" customHeight="false" outlineLevel="0" collapsed="false">
      <c r="A6" s="4" t="s">
        <v>92</v>
      </c>
      <c r="B6" s="24" t="n">
        <v>9889</v>
      </c>
      <c r="C6" s="25" t="n">
        <v>8574</v>
      </c>
      <c r="D6" s="25" t="n">
        <v>7441</v>
      </c>
      <c r="E6" s="25" t="n">
        <v>9860</v>
      </c>
      <c r="F6" s="25" t="n">
        <v>7464</v>
      </c>
      <c r="G6" s="25" t="n">
        <v>7563</v>
      </c>
    </row>
    <row r="7" customFormat="false" ht="15" hidden="false" customHeight="false" outlineLevel="0" collapsed="false">
      <c r="A7" s="4" t="s">
        <v>93</v>
      </c>
      <c r="B7" s="24" t="n">
        <v>3587</v>
      </c>
      <c r="C7" s="25" t="n">
        <v>4423</v>
      </c>
      <c r="D7" s="25" t="n">
        <v>3234</v>
      </c>
      <c r="E7" s="25" t="n">
        <v>1722</v>
      </c>
      <c r="F7" s="25" t="n">
        <v>1687</v>
      </c>
      <c r="G7" s="25" t="n">
        <v>1464</v>
      </c>
    </row>
    <row r="8" customFormat="false" ht="15" hidden="false" customHeight="false" outlineLevel="0" collapsed="false">
      <c r="A8" s="4" t="s">
        <v>94</v>
      </c>
      <c r="B8" s="24" t="n">
        <v>4463</v>
      </c>
      <c r="C8" s="25" t="n">
        <v>4667</v>
      </c>
      <c r="D8" s="25" t="n">
        <v>4131</v>
      </c>
      <c r="E8" s="25" t="n">
        <v>4427</v>
      </c>
      <c r="F8" s="25" t="n">
        <v>4717</v>
      </c>
      <c r="G8" s="25" t="n">
        <v>5931</v>
      </c>
    </row>
    <row r="9" customFormat="false" ht="15" hidden="false" customHeight="false" outlineLevel="0" collapsed="false">
      <c r="A9" s="4" t="s">
        <v>95</v>
      </c>
      <c r="B9" s="24" t="n">
        <v>6854</v>
      </c>
      <c r="C9" s="25" t="n">
        <v>8420</v>
      </c>
      <c r="D9" s="25" t="n">
        <v>8454</v>
      </c>
      <c r="E9" s="25" t="n">
        <v>7519</v>
      </c>
      <c r="F9" s="25" t="n">
        <v>7489</v>
      </c>
      <c r="G9" s="25" t="n">
        <v>7501</v>
      </c>
    </row>
    <row r="10" customFormat="false" ht="15" hidden="false" customHeight="false" outlineLevel="0" collapsed="false">
      <c r="A10" s="4" t="s">
        <v>96</v>
      </c>
      <c r="B10" s="24" t="n">
        <v>1498</v>
      </c>
      <c r="C10" s="25" t="n">
        <v>2129</v>
      </c>
      <c r="D10" s="25" t="n">
        <v>1942</v>
      </c>
      <c r="E10" s="25" t="n">
        <v>1854</v>
      </c>
      <c r="F10" s="25" t="n">
        <v>2005</v>
      </c>
      <c r="G10" s="25" t="n">
        <v>2144</v>
      </c>
    </row>
    <row r="11" customFormat="false" ht="15" hidden="false" customHeight="false" outlineLevel="0" collapsed="false">
      <c r="A11" s="3" t="s">
        <v>97</v>
      </c>
      <c r="B11" s="26" t="n">
        <f aca="false">SUM(B6:B10)</f>
        <v>26291</v>
      </c>
      <c r="C11" s="27" t="n">
        <f aca="false">SUM(C6:C10)</f>
        <v>28213</v>
      </c>
      <c r="D11" s="27" t="n">
        <f aca="false">SUM(D6:D10)</f>
        <v>25202</v>
      </c>
      <c r="E11" s="27" t="n">
        <f aca="false">SUM(E6:E10)</f>
        <v>25382</v>
      </c>
      <c r="F11" s="27" t="n">
        <f aca="false">SUM(F6:F10)</f>
        <v>23362</v>
      </c>
      <c r="G11" s="27" t="n">
        <f aca="false">SUM(G6:G10)</f>
        <v>24603</v>
      </c>
    </row>
    <row r="12" customFormat="false" ht="15" hidden="false" customHeight="false" outlineLevel="0" collapsed="false">
      <c r="A12" s="4" t="s">
        <v>98</v>
      </c>
      <c r="B12" s="24" t="n">
        <v>4904</v>
      </c>
      <c r="C12" s="25" t="n">
        <v>4791</v>
      </c>
      <c r="D12" s="25" t="n">
        <v>5081</v>
      </c>
      <c r="E12" s="25" t="n">
        <v>5000</v>
      </c>
      <c r="F12" s="25" t="n">
        <v>4828</v>
      </c>
      <c r="G12" s="25" t="n">
        <v>4796</v>
      </c>
    </row>
    <row r="13" customFormat="false" ht="15" hidden="false" customHeight="false" outlineLevel="0" collapsed="false">
      <c r="A13" s="4" t="s">
        <v>99</v>
      </c>
      <c r="B13" s="24" t="n">
        <v>3113</v>
      </c>
      <c r="C13" s="25" t="n">
        <v>2926</v>
      </c>
      <c r="D13" s="25" t="n">
        <v>2923</v>
      </c>
      <c r="E13" s="25" t="n">
        <v>2718</v>
      </c>
      <c r="F13" s="25" t="n">
        <v>2712</v>
      </c>
      <c r="G13" s="25" t="n">
        <v>2838</v>
      </c>
    </row>
    <row r="14" customFormat="false" ht="15" hidden="false" customHeight="false" outlineLevel="0" collapsed="false">
      <c r="A14" s="4" t="s">
        <v>100</v>
      </c>
      <c r="B14" s="24" t="n">
        <v>269</v>
      </c>
      <c r="C14" s="25" t="n">
        <v>286</v>
      </c>
      <c r="D14" s="25" t="n">
        <v>274</v>
      </c>
      <c r="E14" s="25" t="n">
        <v>259</v>
      </c>
      <c r="F14" s="25" t="n">
        <v>259</v>
      </c>
      <c r="G14" s="25" t="n">
        <v>259</v>
      </c>
    </row>
    <row r="15" customFormat="false" ht="15" hidden="false" customHeight="false" outlineLevel="0" collapsed="false">
      <c r="A15" s="4" t="s">
        <v>101</v>
      </c>
      <c r="B15" s="24" t="n">
        <v>242</v>
      </c>
      <c r="C15" s="25" t="n">
        <v>284</v>
      </c>
      <c r="D15" s="25" t="n">
        <v>281</v>
      </c>
      <c r="E15" s="25" t="n">
        <v>240</v>
      </c>
      <c r="F15" s="25" t="n">
        <v>240</v>
      </c>
      <c r="G15" s="25" t="n">
        <v>240</v>
      </c>
    </row>
    <row r="16" customFormat="false" ht="15" hidden="false" customHeight="false" outlineLevel="0" collapsed="false">
      <c r="A16" s="4" t="s">
        <v>102</v>
      </c>
      <c r="B16" s="24" t="n">
        <v>2921</v>
      </c>
      <c r="C16" s="25" t="n">
        <v>3821</v>
      </c>
      <c r="D16" s="25" t="n">
        <v>3770</v>
      </c>
      <c r="E16" s="25" t="n">
        <v>4511</v>
      </c>
      <c r="F16" s="25" t="n">
        <v>5178</v>
      </c>
      <c r="G16" s="25" t="n">
        <v>5674</v>
      </c>
    </row>
    <row r="17" customFormat="false" ht="15" hidden="false" customHeight="false" outlineLevel="0" collapsed="false">
      <c r="A17" s="3" t="s">
        <v>103</v>
      </c>
      <c r="B17" s="28" t="n">
        <f aca="false">B11+B12+B13+B14+B15+B16</f>
        <v>37740</v>
      </c>
      <c r="C17" s="29" t="n">
        <f aca="false">C11+C12+C13+C14+C15+C16</f>
        <v>40321</v>
      </c>
      <c r="D17" s="29" t="n">
        <f aca="false">D11+D12+D13+D14+D15+D16</f>
        <v>37531</v>
      </c>
      <c r="E17" s="29" t="n">
        <f aca="false">E11+E12+E13+E14+E15+E16</f>
        <v>38110</v>
      </c>
      <c r="F17" s="29" t="n">
        <f aca="false">F11+F12+F13+F14+F15+F16</f>
        <v>36579</v>
      </c>
      <c r="G17" s="29" t="n">
        <f aca="false">G11+G12+G13+G14+G15+G16</f>
        <v>38410</v>
      </c>
    </row>
    <row r="18" customFormat="false" ht="15" hidden="false" customHeight="false" outlineLevel="0" collapsed="false">
      <c r="B18" s="30"/>
    </row>
    <row r="19" customFormat="false" ht="15" hidden="false" customHeight="false" outlineLevel="0" collapsed="false">
      <c r="A19" s="19" t="s">
        <v>104</v>
      </c>
      <c r="B19" s="30"/>
      <c r="C19" s="20"/>
      <c r="D19" s="20"/>
      <c r="E19" s="20"/>
      <c r="F19" s="20"/>
      <c r="G19" s="20"/>
    </row>
    <row r="20" customFormat="false" ht="15" hidden="false" customHeight="false" outlineLevel="0" collapsed="false">
      <c r="A20" s="4" t="s">
        <v>105</v>
      </c>
      <c r="B20" s="24" t="n">
        <v>0</v>
      </c>
      <c r="C20" s="25" t="n">
        <v>500</v>
      </c>
      <c r="D20" s="25" t="n">
        <v>0</v>
      </c>
      <c r="E20" s="25" t="n">
        <v>1000</v>
      </c>
      <c r="F20" s="25" t="n">
        <v>0</v>
      </c>
      <c r="G20" s="25" t="n">
        <v>2000</v>
      </c>
    </row>
    <row r="21" customFormat="false" ht="15" hidden="false" customHeight="false" outlineLevel="0" collapsed="false">
      <c r="A21" s="4" t="s">
        <v>106</v>
      </c>
      <c r="B21" s="24" t="n">
        <v>2</v>
      </c>
      <c r="C21" s="25" t="n">
        <v>10</v>
      </c>
      <c r="D21" s="25" t="n">
        <v>6</v>
      </c>
      <c r="E21" s="25" t="n">
        <v>6</v>
      </c>
      <c r="F21" s="25" t="n">
        <v>5</v>
      </c>
      <c r="G21" s="25" t="n">
        <v>0</v>
      </c>
    </row>
    <row r="22" customFormat="false" ht="15" hidden="false" customHeight="false" outlineLevel="0" collapsed="false">
      <c r="A22" s="4" t="s">
        <v>107</v>
      </c>
      <c r="B22" s="24" t="n">
        <v>2836</v>
      </c>
      <c r="C22" s="25" t="n">
        <v>3358</v>
      </c>
      <c r="D22" s="25" t="n">
        <v>2862</v>
      </c>
      <c r="E22" s="25" t="n">
        <v>2851</v>
      </c>
      <c r="F22" s="25" t="n">
        <v>3479</v>
      </c>
      <c r="G22" s="25" t="n">
        <v>3600</v>
      </c>
    </row>
    <row r="23" customFormat="false" ht="15" hidden="false" customHeight="false" outlineLevel="0" collapsed="false">
      <c r="A23" s="4" t="s">
        <v>108</v>
      </c>
      <c r="B23" s="24" t="n">
        <v>467</v>
      </c>
      <c r="C23" s="25" t="n">
        <v>420</v>
      </c>
      <c r="D23" s="25" t="n">
        <v>425</v>
      </c>
      <c r="E23" s="25" t="n">
        <v>477</v>
      </c>
      <c r="F23" s="25" t="n">
        <v>502</v>
      </c>
      <c r="G23" s="25" t="n">
        <v>478</v>
      </c>
    </row>
    <row r="24" customFormat="false" ht="15" hidden="false" customHeight="false" outlineLevel="0" collapsed="false">
      <c r="A24" s="4" t="s">
        <v>109</v>
      </c>
      <c r="B24" s="24" t="n">
        <v>6063</v>
      </c>
      <c r="C24" s="25" t="n">
        <v>6220</v>
      </c>
      <c r="D24" s="25" t="n">
        <v>5723</v>
      </c>
      <c r="E24" s="25" t="n">
        <v>5725</v>
      </c>
      <c r="F24" s="25" t="n">
        <v>5911</v>
      </c>
      <c r="G24" s="25" t="n">
        <v>6092</v>
      </c>
    </row>
    <row r="25" customFormat="false" ht="15" hidden="false" customHeight="false" outlineLevel="0" collapsed="false">
      <c r="A25" s="4" t="s">
        <v>110</v>
      </c>
      <c r="B25" s="24" t="n">
        <v>306</v>
      </c>
      <c r="C25" s="25" t="n">
        <v>222</v>
      </c>
      <c r="D25" s="25" t="n">
        <v>240</v>
      </c>
      <c r="E25" s="25" t="n">
        <v>534</v>
      </c>
      <c r="F25" s="25" t="n">
        <v>669</v>
      </c>
      <c r="G25" s="25" t="n">
        <v>377</v>
      </c>
    </row>
    <row r="26" customFormat="false" ht="15" hidden="false" customHeight="false" outlineLevel="0" collapsed="false">
      <c r="A26" s="3" t="s">
        <v>111</v>
      </c>
      <c r="B26" s="26" t="n">
        <f aca="false">SUM(B20:B25)</f>
        <v>9674</v>
      </c>
      <c r="C26" s="27" t="n">
        <f aca="false">SUM(C20:C25)</f>
        <v>10730</v>
      </c>
      <c r="D26" s="27" t="n">
        <f aca="false">SUM(D20:D25)</f>
        <v>9256</v>
      </c>
      <c r="E26" s="27" t="n">
        <f aca="false">SUM(E20:E25)</f>
        <v>10593</v>
      </c>
      <c r="F26" s="27" t="n">
        <f aca="false">SUM(F20:F25)</f>
        <v>10566</v>
      </c>
      <c r="G26" s="27" t="n">
        <f aca="false">SUM(G20:G25)</f>
        <v>12547</v>
      </c>
    </row>
    <row r="27" customFormat="false" ht="15" hidden="false" customHeight="false" outlineLevel="0" collapsed="false">
      <c r="A27" s="4" t="s">
        <v>112</v>
      </c>
      <c r="B27" s="24" t="n">
        <v>9413</v>
      </c>
      <c r="C27" s="25" t="n">
        <v>8920</v>
      </c>
      <c r="D27" s="25" t="n">
        <v>8927</v>
      </c>
      <c r="E27" s="25" t="n">
        <v>7903</v>
      </c>
      <c r="F27" s="25" t="n">
        <v>7961</v>
      </c>
      <c r="G27" s="25" t="n">
        <v>5942</v>
      </c>
    </row>
    <row r="28" customFormat="false" ht="15" hidden="false" customHeight="false" outlineLevel="0" collapsed="false">
      <c r="A28" s="4" t="s">
        <v>113</v>
      </c>
      <c r="B28" s="24" t="n">
        <v>2931</v>
      </c>
      <c r="C28" s="25" t="n">
        <v>2777</v>
      </c>
      <c r="D28" s="25" t="n">
        <v>2786</v>
      </c>
      <c r="E28" s="25" t="n">
        <v>2566</v>
      </c>
      <c r="F28" s="25" t="n">
        <v>2550</v>
      </c>
      <c r="G28" s="25" t="n">
        <v>2613</v>
      </c>
    </row>
    <row r="29" customFormat="false" ht="15" hidden="false" customHeight="false" outlineLevel="0" collapsed="false">
      <c r="A29" s="4" t="s">
        <v>114</v>
      </c>
      <c r="B29" s="24" t="n">
        <v>2955</v>
      </c>
      <c r="C29" s="25" t="n">
        <v>2613</v>
      </c>
      <c r="D29" s="25" t="n">
        <v>2558</v>
      </c>
      <c r="E29" s="25" t="n">
        <v>2618</v>
      </c>
      <c r="F29" s="25" t="n">
        <v>2289</v>
      </c>
      <c r="G29" s="25" t="n">
        <v>2443</v>
      </c>
    </row>
    <row r="30" customFormat="false" ht="15" hidden="false" customHeight="false" outlineLevel="0" collapsed="false">
      <c r="A30" s="3" t="s">
        <v>115</v>
      </c>
      <c r="B30" s="26" t="n">
        <f aca="false">B26+B27+B28+B29</f>
        <v>24973</v>
      </c>
      <c r="C30" s="27" t="n">
        <f aca="false">C26+C27+C28+C29</f>
        <v>25040</v>
      </c>
      <c r="D30" s="27" t="n">
        <f aca="false">D26+D27+D28+D29</f>
        <v>23527</v>
      </c>
      <c r="E30" s="27" t="n">
        <f aca="false">E26+E27+E28+E29</f>
        <v>23680</v>
      </c>
      <c r="F30" s="27" t="n">
        <f aca="false">F26+F27+F28+F29</f>
        <v>23366</v>
      </c>
      <c r="G30" s="27" t="n">
        <f aca="false">G26+G27+G28+G29</f>
        <v>23545</v>
      </c>
    </row>
    <row r="31" customFormat="false" ht="15" hidden="false" customHeight="false" outlineLevel="0" collapsed="false">
      <c r="B31" s="30"/>
    </row>
    <row r="32" customFormat="false" ht="15" hidden="false" customHeight="false" outlineLevel="0" collapsed="false">
      <c r="A32" s="19" t="s">
        <v>116</v>
      </c>
      <c r="B32" s="30"/>
      <c r="C32" s="20"/>
      <c r="D32" s="20"/>
      <c r="E32" s="20"/>
      <c r="F32" s="20"/>
      <c r="G32" s="20"/>
    </row>
    <row r="33" customFormat="false" ht="15" hidden="false" customHeight="false" outlineLevel="0" collapsed="false">
      <c r="A33" s="4" t="s">
        <v>117</v>
      </c>
      <c r="B33" s="24" t="n">
        <v>3</v>
      </c>
      <c r="C33" s="25" t="n">
        <v>3</v>
      </c>
      <c r="D33" s="25" t="n">
        <v>3</v>
      </c>
      <c r="E33" s="25" t="n">
        <v>3</v>
      </c>
      <c r="F33" s="25" t="n">
        <v>3</v>
      </c>
      <c r="G33" s="25" t="n">
        <v>3</v>
      </c>
    </row>
    <row r="34" customFormat="false" ht="15" hidden="false" customHeight="false" outlineLevel="0" collapsed="false">
      <c r="A34" s="4" t="s">
        <v>118</v>
      </c>
      <c r="B34" s="24" t="n">
        <v>9965</v>
      </c>
      <c r="C34" s="25" t="n">
        <v>11484</v>
      </c>
      <c r="D34" s="25" t="n">
        <v>12412</v>
      </c>
      <c r="E34" s="25" t="n">
        <v>13409</v>
      </c>
      <c r="F34" s="25" t="n">
        <v>14195</v>
      </c>
      <c r="G34" s="25" t="n">
        <v>15158</v>
      </c>
    </row>
    <row r="35" customFormat="false" ht="15" hidden="false" customHeight="false" outlineLevel="0" collapsed="false">
      <c r="A35" s="4" t="s">
        <v>119</v>
      </c>
      <c r="B35" s="24" t="n">
        <v>-380</v>
      </c>
      <c r="C35" s="25" t="n">
        <v>318</v>
      </c>
      <c r="D35" s="25" t="n">
        <v>231</v>
      </c>
      <c r="E35" s="25" t="n">
        <v>53</v>
      </c>
      <c r="F35" s="25" t="n">
        <v>-258</v>
      </c>
      <c r="G35" s="25" t="n">
        <v>-141</v>
      </c>
    </row>
    <row r="36" customFormat="false" ht="15" hidden="false" customHeight="false" outlineLevel="0" collapsed="false">
      <c r="A36" s="4" t="s">
        <v>120</v>
      </c>
      <c r="B36" s="24" t="n">
        <v>3179</v>
      </c>
      <c r="C36" s="25" t="n">
        <v>3476</v>
      </c>
      <c r="D36" s="25" t="n">
        <v>1358</v>
      </c>
      <c r="E36" s="25" t="n">
        <v>965</v>
      </c>
      <c r="F36" s="25" t="n">
        <v>-727</v>
      </c>
      <c r="G36" s="25" t="n">
        <v>-155</v>
      </c>
    </row>
    <row r="37" customFormat="false" ht="15" hidden="false" customHeight="false" outlineLevel="0" collapsed="false">
      <c r="A37" s="3" t="s">
        <v>121</v>
      </c>
      <c r="B37" s="26" t="n">
        <f aca="false">SUM(B33:B36)</f>
        <v>12767</v>
      </c>
      <c r="C37" s="27" t="n">
        <f aca="false">SUM(C33:C36)</f>
        <v>15281</v>
      </c>
      <c r="D37" s="27" t="n">
        <f aca="false">SUM(D33:D36)</f>
        <v>14004</v>
      </c>
      <c r="E37" s="27" t="n">
        <f aca="false">SUM(E33:E36)</f>
        <v>14430</v>
      </c>
      <c r="F37" s="27" t="n">
        <f aca="false">SUM(F33:F36)</f>
        <v>13213</v>
      </c>
      <c r="G37" s="27" t="n">
        <f aca="false">SUM(G33:G36)</f>
        <v>14865</v>
      </c>
    </row>
    <row r="38" customFormat="false" ht="15" hidden="false" customHeight="false" outlineLevel="0" collapsed="false">
      <c r="A38" s="3" t="s">
        <v>122</v>
      </c>
      <c r="B38" s="28" t="n">
        <f aca="false">B30+B37</f>
        <v>37740</v>
      </c>
      <c r="C38" s="29" t="n">
        <f aca="false">C30+C37</f>
        <v>40321</v>
      </c>
      <c r="D38" s="29" t="n">
        <f aca="false">D30+D37</f>
        <v>37531</v>
      </c>
      <c r="E38" s="29" t="n">
        <f aca="false">E30+E37</f>
        <v>38110</v>
      </c>
      <c r="F38" s="29" t="n">
        <f aca="false">F30+F37</f>
        <v>36579</v>
      </c>
      <c r="G38" s="29" t="n">
        <f aca="false">G30+G37</f>
        <v>38410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8" t="s">
        <v>123</v>
      </c>
    </row>
    <row r="2" customFormat="false" ht="15" hidden="false" customHeight="false" outlineLevel="0" collapsed="false">
      <c r="A2" s="2" t="s">
        <v>74</v>
      </c>
    </row>
    <row r="3" customFormat="false" ht="15" hidden="false" customHeight="false" outlineLevel="0" collapsed="false">
      <c r="B3" s="2" t="s">
        <v>75</v>
      </c>
    </row>
    <row r="4" customFormat="false" ht="15" hidden="false" customHeight="false" outlineLevel="0" collapsed="false">
      <c r="A4" s="9" t="s">
        <v>33</v>
      </c>
      <c r="B4" s="11" t="s">
        <v>76</v>
      </c>
      <c r="C4" s="11" t="s">
        <v>34</v>
      </c>
      <c r="D4" s="11" t="s">
        <v>35</v>
      </c>
      <c r="E4" s="11" t="s">
        <v>36</v>
      </c>
      <c r="F4" s="11" t="s">
        <v>37</v>
      </c>
      <c r="G4" s="11" t="s">
        <v>38</v>
      </c>
    </row>
    <row r="5" customFormat="false" ht="15" hidden="false" customHeight="false" outlineLevel="0" collapsed="false">
      <c r="A5" s="19" t="s">
        <v>124</v>
      </c>
      <c r="B5" s="30"/>
      <c r="C5" s="20"/>
      <c r="D5" s="20"/>
      <c r="E5" s="20"/>
      <c r="F5" s="20"/>
      <c r="G5" s="20"/>
    </row>
    <row r="6" customFormat="false" ht="15" hidden="false" customHeight="false" outlineLevel="0" collapsed="false">
      <c r="A6" s="4" t="s">
        <v>45</v>
      </c>
      <c r="B6" s="35" t="n">
        <f aca="false">'Income Statement'!B16</f>
        <v>5727</v>
      </c>
      <c r="C6" s="12" t="n">
        <f aca="false">'Income Statement'!C16</f>
        <v>6046</v>
      </c>
      <c r="D6" s="12" t="n">
        <f aca="false">'Income Statement'!D16</f>
        <v>5070</v>
      </c>
      <c r="E6" s="12" t="n">
        <f aca="false">'Income Statement'!E16</f>
        <v>5700</v>
      </c>
      <c r="F6" s="12" t="n">
        <f aca="false">'Income Statement'!F16</f>
        <v>3219</v>
      </c>
      <c r="G6" s="12" t="n">
        <f aca="false">'Income Statement'!G16</f>
        <v>3108</v>
      </c>
    </row>
    <row r="7" customFormat="false" ht="15" hidden="false" customHeight="false" outlineLevel="0" collapsed="false">
      <c r="A7" s="4" t="s">
        <v>125</v>
      </c>
      <c r="B7" s="24" t="n">
        <v>744</v>
      </c>
      <c r="C7" s="25" t="n">
        <v>717</v>
      </c>
      <c r="D7" s="25" t="n">
        <v>703</v>
      </c>
      <c r="E7" s="25" t="n">
        <v>796</v>
      </c>
      <c r="F7" s="25" t="n">
        <v>775</v>
      </c>
      <c r="G7" s="25" t="n">
        <v>747</v>
      </c>
    </row>
    <row r="8" customFormat="false" ht="15" hidden="false" customHeight="false" outlineLevel="0" collapsed="false">
      <c r="A8" s="4" t="s">
        <v>126</v>
      </c>
      <c r="B8" s="24" t="n">
        <v>-385</v>
      </c>
      <c r="C8" s="25" t="n">
        <v>-650</v>
      </c>
      <c r="D8" s="25" t="n">
        <v>-117</v>
      </c>
      <c r="E8" s="25" t="n">
        <v>-497</v>
      </c>
      <c r="F8" s="25" t="n">
        <v>-288</v>
      </c>
      <c r="G8" s="25" t="n">
        <v>-96</v>
      </c>
    </row>
    <row r="9" customFormat="false" ht="15" hidden="false" customHeight="false" outlineLevel="0" collapsed="false">
      <c r="A9" s="4" t="s">
        <v>127</v>
      </c>
      <c r="B9" s="24" t="n">
        <v>611</v>
      </c>
      <c r="C9" s="25" t="n">
        <v>638</v>
      </c>
      <c r="D9" s="25" t="n">
        <v>755</v>
      </c>
      <c r="E9" s="25" t="n">
        <v>804</v>
      </c>
      <c r="F9" s="25" t="n">
        <v>709</v>
      </c>
      <c r="G9" s="25" t="n">
        <v>715</v>
      </c>
    </row>
    <row r="10" customFormat="false" ht="15" hidden="false" customHeight="false" outlineLevel="0" collapsed="false">
      <c r="A10" s="4" t="s">
        <v>128</v>
      </c>
      <c r="B10" s="24" t="n">
        <v>53</v>
      </c>
      <c r="C10" s="25" t="n">
        <v>123</v>
      </c>
      <c r="D10" s="25" t="n">
        <v>156</v>
      </c>
      <c r="E10" s="25" t="n">
        <v>48</v>
      </c>
      <c r="F10" s="25" t="n">
        <v>33</v>
      </c>
      <c r="G10" s="25" t="n">
        <v>50</v>
      </c>
    </row>
    <row r="11" customFormat="false" ht="15" hidden="false" customHeight="false" outlineLevel="0" collapsed="false">
      <c r="A11" s="4" t="s">
        <v>129</v>
      </c>
      <c r="B11" s="24" t="n">
        <v>-138</v>
      </c>
      <c r="C11" s="25" t="n">
        <v>-26</v>
      </c>
      <c r="D11" s="25" t="n">
        <v>-213</v>
      </c>
      <c r="E11" s="25" t="n">
        <v>-138</v>
      </c>
      <c r="F11" s="25" t="n">
        <v>37</v>
      </c>
      <c r="G11" s="25" t="n">
        <v>22</v>
      </c>
    </row>
    <row r="12" customFormat="false" ht="15" hidden="false" customHeight="false" outlineLevel="0" collapsed="false">
      <c r="A12" s="4" t="s">
        <v>130</v>
      </c>
      <c r="B12" s="24" t="n">
        <v>-1606</v>
      </c>
      <c r="C12" s="25" t="n">
        <v>-504</v>
      </c>
      <c r="D12" s="25" t="n">
        <v>489</v>
      </c>
      <c r="E12" s="25" t="n">
        <v>-329</v>
      </c>
      <c r="F12" s="25" t="n">
        <v>-257</v>
      </c>
      <c r="G12" s="25" t="n">
        <v>-1207</v>
      </c>
    </row>
    <row r="13" customFormat="false" ht="15" hidden="false" customHeight="false" outlineLevel="0" collapsed="false">
      <c r="A13" s="4" t="s">
        <v>131</v>
      </c>
      <c r="B13" s="24" t="n">
        <v>507</v>
      </c>
      <c r="C13" s="25" t="n">
        <v>-1676</v>
      </c>
      <c r="D13" s="25" t="n">
        <v>-133</v>
      </c>
      <c r="E13" s="25" t="n">
        <v>908</v>
      </c>
      <c r="F13" s="25" t="n">
        <v>120</v>
      </c>
      <c r="G13" s="25" t="n">
        <v>-31</v>
      </c>
    </row>
    <row r="14" customFormat="false" ht="15" hidden="false" customHeight="false" outlineLevel="0" collapsed="false">
      <c r="A14" s="4" t="s">
        <v>132</v>
      </c>
      <c r="B14" s="24" t="n">
        <v>-182</v>
      </c>
      <c r="C14" s="25" t="n">
        <v>-845</v>
      </c>
      <c r="D14" s="25" t="n">
        <v>-644</v>
      </c>
      <c r="E14" s="25" t="n">
        <v>-260</v>
      </c>
      <c r="F14" s="25" t="n">
        <v>-224</v>
      </c>
      <c r="G14" s="25" t="n">
        <v>519</v>
      </c>
    </row>
    <row r="15" customFormat="false" ht="15" hidden="false" customHeight="false" outlineLevel="0" collapsed="false">
      <c r="A15" s="4" t="s">
        <v>133</v>
      </c>
      <c r="B15" s="24" t="n">
        <v>1326</v>
      </c>
      <c r="C15" s="25" t="n">
        <v>1365</v>
      </c>
      <c r="D15" s="25" t="n">
        <v>-225</v>
      </c>
      <c r="E15" s="25" t="n">
        <v>397</v>
      </c>
      <c r="F15" s="25" t="n">
        <v>-426</v>
      </c>
      <c r="G15" s="25" t="n">
        <v>-959</v>
      </c>
    </row>
    <row r="16" customFormat="false" ht="15" hidden="false" customHeight="false" outlineLevel="0" collapsed="false">
      <c r="A16" s="3" t="s">
        <v>134</v>
      </c>
      <c r="B16" s="26" t="n">
        <f aca="false">SUM(B6:B15)</f>
        <v>6657</v>
      </c>
      <c r="C16" s="27" t="n">
        <f aca="false">SUM(C6:C15)</f>
        <v>5188</v>
      </c>
      <c r="D16" s="27" t="n">
        <f aca="false">SUM(D6:D15)</f>
        <v>5841</v>
      </c>
      <c r="E16" s="27" t="n">
        <f aca="false">SUM(E6:E15)</f>
        <v>7429</v>
      </c>
      <c r="F16" s="27" t="n">
        <f aca="false">SUM(F6:F15)</f>
        <v>3698</v>
      </c>
      <c r="G16" s="27" t="n">
        <f aca="false">SUM(G6:G15)</f>
        <v>2868</v>
      </c>
    </row>
    <row r="17" customFormat="false" ht="15" hidden="false" customHeight="false" outlineLevel="0" collapsed="false">
      <c r="B17" s="30"/>
    </row>
    <row r="18" customFormat="false" ht="15" hidden="false" customHeight="false" outlineLevel="0" collapsed="false">
      <c r="A18" s="19" t="s">
        <v>135</v>
      </c>
      <c r="B18" s="30"/>
      <c r="C18" s="20"/>
      <c r="D18" s="20"/>
      <c r="E18" s="20"/>
      <c r="F18" s="20"/>
      <c r="G18" s="20"/>
    </row>
    <row r="19" customFormat="false" ht="15" hidden="false" customHeight="false" outlineLevel="0" collapsed="false">
      <c r="A19" s="4" t="s">
        <v>136</v>
      </c>
      <c r="B19" s="24" t="n">
        <v>-9961</v>
      </c>
      <c r="C19" s="25" t="n">
        <v>-12913</v>
      </c>
      <c r="D19" s="25" t="n">
        <v>-6059</v>
      </c>
      <c r="E19" s="25" t="n">
        <v>-4767</v>
      </c>
      <c r="F19" s="25" t="n">
        <v>-3234</v>
      </c>
      <c r="G19" s="25" t="n">
        <v>-1316</v>
      </c>
    </row>
    <row r="20" customFormat="false" ht="15" hidden="false" customHeight="false" outlineLevel="0" collapsed="false">
      <c r="A20" s="4" t="s">
        <v>137</v>
      </c>
      <c r="B20" s="24" t="n">
        <v>4236</v>
      </c>
      <c r="C20" s="25" t="n">
        <v>8199</v>
      </c>
      <c r="D20" s="25" t="n">
        <v>3356</v>
      </c>
      <c r="E20" s="25" t="n">
        <v>2269</v>
      </c>
      <c r="F20" s="25" t="n">
        <v>319</v>
      </c>
      <c r="G20" s="25" t="n">
        <v>556</v>
      </c>
    </row>
    <row r="21" customFormat="false" ht="15" hidden="false" customHeight="false" outlineLevel="0" collapsed="false">
      <c r="A21" s="4" t="s">
        <v>138</v>
      </c>
      <c r="B21" s="24" t="n">
        <v>2449</v>
      </c>
      <c r="C21" s="25" t="n">
        <v>3967</v>
      </c>
      <c r="D21" s="25" t="n">
        <v>4184</v>
      </c>
      <c r="E21" s="25" t="n">
        <v>4219</v>
      </c>
      <c r="F21" s="25" t="n">
        <v>3062</v>
      </c>
      <c r="G21" s="25" t="n">
        <v>1021</v>
      </c>
    </row>
    <row r="22" customFormat="false" ht="15" hidden="false" customHeight="false" outlineLevel="0" collapsed="false">
      <c r="A22" s="4" t="s">
        <v>139</v>
      </c>
      <c r="B22" s="24" t="n">
        <v>-695</v>
      </c>
      <c r="C22" s="25" t="n">
        <v>-758</v>
      </c>
      <c r="D22" s="25" t="n">
        <v>-969</v>
      </c>
      <c r="E22" s="25" t="n">
        <v>-812</v>
      </c>
      <c r="F22" s="25" t="n">
        <v>-430</v>
      </c>
      <c r="G22" s="25" t="n">
        <v>-684</v>
      </c>
    </row>
    <row r="23" customFormat="false" ht="15" hidden="false" customHeight="false" outlineLevel="0" collapsed="false">
      <c r="A23" s="4" t="s">
        <v>140</v>
      </c>
      <c r="B23" s="24" t="n">
        <v>171</v>
      </c>
      <c r="C23" s="25" t="n">
        <v>-19</v>
      </c>
      <c r="D23" s="25" t="n">
        <v>52</v>
      </c>
      <c r="E23" s="25" t="n">
        <v>-15</v>
      </c>
      <c r="F23" s="25" t="n">
        <v>8</v>
      </c>
      <c r="G23" s="25" t="n">
        <v>-65</v>
      </c>
    </row>
    <row r="24" customFormat="false" ht="15" hidden="false" customHeight="false" outlineLevel="0" collapsed="false">
      <c r="A24" s="3" t="s">
        <v>141</v>
      </c>
      <c r="B24" s="26" t="n">
        <f aca="false">SUM(B19:B23)</f>
        <v>-3800</v>
      </c>
      <c r="C24" s="27" t="n">
        <f aca="false">SUM(C19:C23)</f>
        <v>-1524</v>
      </c>
      <c r="D24" s="27" t="n">
        <f aca="false">SUM(D19:D23)</f>
        <v>564</v>
      </c>
      <c r="E24" s="27" t="n">
        <f aca="false">SUM(E19:E23)</f>
        <v>894</v>
      </c>
      <c r="F24" s="27" t="n">
        <f aca="false">SUM(F19:F23)</f>
        <v>-275</v>
      </c>
      <c r="G24" s="27" t="n">
        <f aca="false">SUM(G19:G23)</f>
        <v>-488</v>
      </c>
    </row>
    <row r="25" customFormat="false" ht="15" hidden="false" customHeight="false" outlineLevel="0" collapsed="false">
      <c r="B25" s="30"/>
    </row>
    <row r="26" customFormat="false" ht="15" hidden="false" customHeight="false" outlineLevel="0" collapsed="false">
      <c r="A26" s="19" t="s">
        <v>142</v>
      </c>
      <c r="B26" s="30"/>
      <c r="C26" s="20"/>
      <c r="D26" s="20"/>
      <c r="E26" s="20"/>
      <c r="F26" s="20"/>
      <c r="G26" s="20"/>
    </row>
    <row r="27" customFormat="false" ht="15" hidden="false" customHeight="false" outlineLevel="0" collapsed="false">
      <c r="A27" s="4" t="s">
        <v>143</v>
      </c>
      <c r="B27" s="24" t="n">
        <v>-52</v>
      </c>
      <c r="C27" s="25" t="n">
        <v>15</v>
      </c>
      <c r="D27" s="25" t="n">
        <v>-4</v>
      </c>
      <c r="E27" s="25" t="n">
        <v>0</v>
      </c>
      <c r="F27" s="25" t="n">
        <v>-1</v>
      </c>
      <c r="G27" s="25" t="n">
        <v>0</v>
      </c>
    </row>
    <row r="28" customFormat="false" ht="15" hidden="false" customHeight="false" outlineLevel="0" collapsed="false">
      <c r="A28" s="4" t="s">
        <v>144</v>
      </c>
      <c r="B28" s="24" t="n">
        <v>-197</v>
      </c>
      <c r="C28" s="25" t="n">
        <v>0</v>
      </c>
      <c r="D28" s="25" t="n">
        <v>-500</v>
      </c>
      <c r="E28" s="25" t="n">
        <v>0</v>
      </c>
      <c r="F28" s="25" t="n">
        <v>-1000</v>
      </c>
      <c r="G28" s="25" t="n">
        <v>0</v>
      </c>
    </row>
    <row r="29" customFormat="false" ht="15" hidden="false" customHeight="false" outlineLevel="0" collapsed="false">
      <c r="A29" s="4" t="s">
        <v>145</v>
      </c>
      <c r="B29" s="24" t="n">
        <v>1172</v>
      </c>
      <c r="C29" s="25" t="n">
        <v>1151</v>
      </c>
      <c r="D29" s="25" t="n">
        <v>651</v>
      </c>
      <c r="E29" s="25" t="n">
        <v>667</v>
      </c>
      <c r="F29" s="25" t="n">
        <v>551</v>
      </c>
      <c r="G29" s="25" t="n">
        <v>354</v>
      </c>
    </row>
    <row r="30" customFormat="false" ht="15" hidden="false" customHeight="false" outlineLevel="0" collapsed="false">
      <c r="A30" s="4" t="s">
        <v>146</v>
      </c>
      <c r="B30" s="24" t="n">
        <v>-608</v>
      </c>
      <c r="C30" s="25" t="n">
        <v>-4014</v>
      </c>
      <c r="D30" s="25" t="n">
        <v>-5480</v>
      </c>
      <c r="E30" s="25" t="n">
        <v>-4250</v>
      </c>
      <c r="F30" s="25" t="n">
        <v>-2985</v>
      </c>
      <c r="G30" s="25" t="n">
        <v>-146</v>
      </c>
    </row>
    <row r="31" customFormat="false" ht="15" hidden="false" customHeight="false" outlineLevel="0" collapsed="false">
      <c r="A31" s="4" t="s">
        <v>147</v>
      </c>
      <c r="B31" s="24" t="n">
        <v>-1638</v>
      </c>
      <c r="C31" s="25" t="n">
        <v>-1837</v>
      </c>
      <c r="D31" s="25" t="n">
        <v>-2012</v>
      </c>
      <c r="E31" s="25" t="n">
        <v>-2169</v>
      </c>
      <c r="F31" s="25" t="n">
        <v>-2300</v>
      </c>
      <c r="G31" s="25" t="n">
        <v>-2407</v>
      </c>
    </row>
    <row r="32" customFormat="false" ht="15" hidden="false" customHeight="false" outlineLevel="0" collapsed="false">
      <c r="A32" s="4" t="s">
        <v>148</v>
      </c>
      <c r="B32" s="24" t="n">
        <v>-136</v>
      </c>
      <c r="C32" s="25" t="n">
        <v>-151</v>
      </c>
      <c r="D32" s="25" t="n">
        <v>-102</v>
      </c>
      <c r="E32" s="25" t="n">
        <v>-136</v>
      </c>
      <c r="F32" s="25" t="n">
        <v>-85</v>
      </c>
      <c r="G32" s="25" t="n">
        <v>-93</v>
      </c>
    </row>
    <row r="33" customFormat="false" ht="15" hidden="false" customHeight="false" outlineLevel="0" collapsed="false">
      <c r="A33" s="3" t="s">
        <v>149</v>
      </c>
      <c r="B33" s="26" t="n">
        <f aca="false">SUM(B27:B32)</f>
        <v>-1459</v>
      </c>
      <c r="C33" s="27" t="n">
        <f aca="false">SUM(C27:C32)</f>
        <v>-4836</v>
      </c>
      <c r="D33" s="27" t="n">
        <f aca="false">SUM(D27:D32)</f>
        <v>-7447</v>
      </c>
      <c r="E33" s="27" t="n">
        <f aca="false">SUM(E27:E32)</f>
        <v>-5888</v>
      </c>
      <c r="F33" s="27" t="n">
        <f aca="false">SUM(F27:F32)</f>
        <v>-5820</v>
      </c>
      <c r="G33" s="27" t="n">
        <f aca="false">SUM(G27:G32)</f>
        <v>-2292</v>
      </c>
    </row>
    <row r="34" customFormat="false" ht="15" hidden="false" customHeight="false" outlineLevel="0" collapsed="false">
      <c r="B34" s="30"/>
    </row>
    <row r="35" customFormat="false" ht="15" hidden="false" customHeight="false" outlineLevel="0" collapsed="false">
      <c r="A35" s="4" t="s">
        <v>150</v>
      </c>
      <c r="B35" s="24" t="n">
        <v>143</v>
      </c>
      <c r="C35" s="25" t="n">
        <v>-143</v>
      </c>
      <c r="D35" s="25" t="n">
        <v>-91</v>
      </c>
      <c r="E35" s="25" t="n">
        <v>-16</v>
      </c>
      <c r="F35" s="25" t="n">
        <v>1</v>
      </c>
      <c r="G35" s="25" t="n">
        <v>11</v>
      </c>
    </row>
    <row r="36" customFormat="false" ht="15" hidden="false" customHeight="false" outlineLevel="0" collapsed="false">
      <c r="A36" s="3" t="s">
        <v>151</v>
      </c>
      <c r="B36" s="26" t="n">
        <f aca="false">B16+B24+B33+B35</f>
        <v>1541</v>
      </c>
      <c r="C36" s="27" t="n">
        <f aca="false">C16+C24+C33+C35</f>
        <v>-1315</v>
      </c>
      <c r="D36" s="27" t="n">
        <f aca="false">D16+D24+D33+D35</f>
        <v>-1133</v>
      </c>
      <c r="E36" s="27" t="n">
        <f aca="false">E16+E24+E33+E35</f>
        <v>2419</v>
      </c>
      <c r="F36" s="27" t="n">
        <f aca="false">F16+F24+F33+F35</f>
        <v>-2396</v>
      </c>
      <c r="G36" s="27" t="n">
        <f aca="false">G16+G24+G33+G35</f>
        <v>99</v>
      </c>
    </row>
    <row r="37" customFormat="false" ht="15" hidden="false" customHeight="false" outlineLevel="0" collapsed="false">
      <c r="A37" s="4" t="s">
        <v>152</v>
      </c>
      <c r="B37" s="24" t="n">
        <v>8348</v>
      </c>
      <c r="C37" s="36" t="n">
        <f aca="false">B38</f>
        <v>9889</v>
      </c>
      <c r="D37" s="36" t="n">
        <f aca="false">C38</f>
        <v>8574</v>
      </c>
      <c r="E37" s="36" t="n">
        <f aca="false">D38</f>
        <v>7441</v>
      </c>
      <c r="F37" s="36" t="n">
        <f aca="false">E38</f>
        <v>9860</v>
      </c>
      <c r="G37" s="36" t="n">
        <f aca="false">F38</f>
        <v>7464</v>
      </c>
    </row>
    <row r="38" customFormat="false" ht="15" hidden="false" customHeight="false" outlineLevel="0" collapsed="false">
      <c r="A38" s="3" t="s">
        <v>153</v>
      </c>
      <c r="B38" s="28" t="n">
        <f aca="false">B37+B36</f>
        <v>9889</v>
      </c>
      <c r="C38" s="29" t="n">
        <f aca="false">C37+C36</f>
        <v>8574</v>
      </c>
      <c r="D38" s="29" t="n">
        <f aca="false">D37+D36</f>
        <v>7441</v>
      </c>
      <c r="E38" s="29" t="n">
        <f aca="false">E37+E36</f>
        <v>9860</v>
      </c>
      <c r="F38" s="29" t="n">
        <f aca="false">F37+F36</f>
        <v>7464</v>
      </c>
      <c r="G38" s="29" t="n">
        <f aca="false">G37+G36</f>
        <v>7563</v>
      </c>
    </row>
    <row r="40" customFormat="false" ht="15" hidden="false" customHeight="false" outlineLevel="0" collapsed="false">
      <c r="A40" s="19" t="s">
        <v>154</v>
      </c>
      <c r="B40" s="20"/>
      <c r="C40" s="20"/>
      <c r="D40" s="20"/>
      <c r="E40" s="20"/>
      <c r="F40" s="20"/>
      <c r="G40" s="20"/>
    </row>
    <row r="41" customFormat="false" ht="15" hidden="false" customHeight="false" outlineLevel="0" collapsed="false">
      <c r="A41" s="4" t="s">
        <v>155</v>
      </c>
      <c r="B41" s="25" t="n">
        <v>293</v>
      </c>
      <c r="C41" s="25" t="n">
        <v>290</v>
      </c>
      <c r="D41" s="25" t="n">
        <v>347</v>
      </c>
      <c r="E41" s="25" t="n">
        <v>381</v>
      </c>
      <c r="F41" s="25" t="n">
        <v>389</v>
      </c>
      <c r="G41" s="25" t="n">
        <v>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2"/>
    <col collapsed="false" customWidth="true" hidden="false" outlineLevel="0" max="7" min="3" style="0" width="11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8" t="s">
        <v>156</v>
      </c>
    </row>
    <row r="2" customFormat="false" ht="15" hidden="false" customHeight="false" outlineLevel="0" collapsed="false">
      <c r="A2" s="2" t="s">
        <v>157</v>
      </c>
    </row>
    <row r="4" customFormat="false" ht="15" hidden="false" customHeight="false" outlineLevel="0" collapsed="false">
      <c r="A4" s="9" t="s">
        <v>33</v>
      </c>
      <c r="B4" s="9" t="s">
        <v>25</v>
      </c>
      <c r="C4" s="11" t="s">
        <v>34</v>
      </c>
      <c r="D4" s="11" t="s">
        <v>35</v>
      </c>
      <c r="E4" s="11" t="s">
        <v>36</v>
      </c>
      <c r="F4" s="11" t="s">
        <v>37</v>
      </c>
      <c r="G4" s="11" t="s">
        <v>38</v>
      </c>
    </row>
    <row r="5" customFormat="false" ht="15" hidden="false" customHeight="false" outlineLevel="0" collapsed="false">
      <c r="A5" s="19" t="s">
        <v>158</v>
      </c>
      <c r="B5" s="20"/>
      <c r="C5" s="20"/>
      <c r="D5" s="20"/>
      <c r="E5" s="20"/>
      <c r="F5" s="20"/>
      <c r="G5" s="20"/>
    </row>
    <row r="6" customFormat="false" ht="15" hidden="false" customHeight="false" outlineLevel="0" collapsed="false">
      <c r="A6" s="4" t="s">
        <v>77</v>
      </c>
      <c r="B6" s="2" t="s">
        <v>159</v>
      </c>
      <c r="C6" s="37" t="n">
        <f aca="false">'Income Statement'!C5/'Income Statement'!C5</f>
        <v>1</v>
      </c>
      <c r="D6" s="37" t="n">
        <f aca="false">'Income Statement'!D5/'Income Statement'!D5</f>
        <v>1</v>
      </c>
      <c r="E6" s="37" t="n">
        <f aca="false">'Income Statement'!E5/'Income Statement'!E5</f>
        <v>1</v>
      </c>
      <c r="F6" s="37" t="n">
        <f aca="false">'Income Statement'!F5/'Income Statement'!F5</f>
        <v>1</v>
      </c>
      <c r="G6" s="37" t="n">
        <f aca="false">'Income Statement'!G5/'Income Statement'!G5</f>
        <v>1</v>
      </c>
    </row>
    <row r="7" customFormat="false" ht="15" hidden="false" customHeight="false" outlineLevel="0" collapsed="false">
      <c r="A7" s="4" t="s">
        <v>78</v>
      </c>
      <c r="B7" s="2" t="s">
        <v>159</v>
      </c>
      <c r="C7" s="37" t="n">
        <f aca="false">'Income Statement'!C6/'Income Statement'!C5</f>
        <v>0.54016270605866</v>
      </c>
      <c r="D7" s="37" t="n">
        <f aca="false">'Income Statement'!D6/'Income Statement'!D5</f>
        <v>0.564753890309858</v>
      </c>
      <c r="E7" s="37" t="n">
        <f aca="false">'Income Statement'!E6/'Income Statement'!E5</f>
        <v>0.554398193216775</v>
      </c>
      <c r="F7" s="37" t="n">
        <f aca="false">'Income Statement'!F6/'Income Statement'!F5</f>
        <v>0.572653263944374</v>
      </c>
      <c r="G7" s="37" t="n">
        <f aca="false">'Income Statement'!G6/'Income Statement'!G5</f>
        <v>0.570865123496703</v>
      </c>
    </row>
    <row r="8" customFormat="false" ht="15" hidden="false" customHeight="false" outlineLevel="0" collapsed="false">
      <c r="A8" s="4" t="s">
        <v>79</v>
      </c>
      <c r="B8" s="2" t="s">
        <v>159</v>
      </c>
      <c r="C8" s="37" t="n">
        <f aca="false">'Income Statement'!C7/'Income Statement'!C5</f>
        <v>0.45983729394134</v>
      </c>
      <c r="D8" s="37" t="n">
        <f aca="false">'Income Statement'!D7/'Income Statement'!D5</f>
        <v>0.435246109690142</v>
      </c>
      <c r="E8" s="37" t="n">
        <f aca="false">'Income Statement'!E7/'Income Statement'!E5</f>
        <v>0.445601806783225</v>
      </c>
      <c r="F8" s="37" t="n">
        <f aca="false">'Income Statement'!F7/'Income Statement'!F5</f>
        <v>0.427346736055626</v>
      </c>
      <c r="G8" s="37" t="n">
        <f aca="false">'Income Statement'!G7/'Income Statement'!G5</f>
        <v>0.429134876503298</v>
      </c>
    </row>
    <row r="9" customFormat="false" ht="15" hidden="false" customHeight="false" outlineLevel="0" collapsed="false">
      <c r="A9" s="4" t="s">
        <v>80</v>
      </c>
      <c r="B9" s="2" t="s">
        <v>159</v>
      </c>
      <c r="C9" s="37" t="n">
        <f aca="false">'Income Statement'!C8/'Income Statement'!C5</f>
        <v>0.0824234639263541</v>
      </c>
      <c r="D9" s="37" t="n">
        <f aca="false">'Income Statement'!D8/'Income Statement'!D5</f>
        <v>0.0792705546986352</v>
      </c>
      <c r="E9" s="37" t="n">
        <f aca="false">'Income Statement'!E8/'Income Statement'!E5</f>
        <v>0.0834274366262996</v>
      </c>
      <c r="F9" s="37" t="n">
        <f aca="false">'Income Statement'!F8/'Income Statement'!F5</f>
        <v>0.101254615733443</v>
      </c>
      <c r="G9" s="37" t="n">
        <f aca="false">'Income Statement'!G8/'Income Statement'!G5</f>
        <v>0.102461312987629</v>
      </c>
    </row>
    <row r="10" customFormat="false" ht="15" hidden="false" customHeight="false" outlineLevel="0" collapsed="false">
      <c r="A10" s="4" t="s">
        <v>81</v>
      </c>
      <c r="B10" s="2" t="s">
        <v>159</v>
      </c>
      <c r="C10" s="37" t="n">
        <f aca="false">'Income Statement'!C9/'Income Statement'!C5</f>
        <v>0.234510811389424</v>
      </c>
      <c r="D10" s="37" t="n">
        <f aca="false">'Income Statement'!D9/'Income Statement'!D5</f>
        <v>0.240486557197805</v>
      </c>
      <c r="E10" s="37" t="n">
        <f aca="false">'Income Statement'!E9/'Income Statement'!E5</f>
        <v>0.239301429072077</v>
      </c>
      <c r="F10" s="37" t="n">
        <f aca="false">'Income Statement'!F9/'Income Statement'!F5</f>
        <v>0.246150856205057</v>
      </c>
      <c r="G10" s="37" t="n">
        <f aca="false">'Income Statement'!G9/'Income Statement'!G5</f>
        <v>0.244838139574982</v>
      </c>
    </row>
    <row r="11" customFormat="false" ht="15" hidden="false" customHeight="false" outlineLevel="0" collapsed="false">
      <c r="A11" s="4" t="s">
        <v>82</v>
      </c>
      <c r="B11" s="2" t="s">
        <v>159</v>
      </c>
      <c r="C11" s="37" t="n">
        <f aca="false">'Income Statement'!C10/'Income Statement'!C5</f>
        <v>0.316934275315778</v>
      </c>
      <c r="D11" s="37" t="n">
        <f aca="false">'Income Statement'!D10/'Income Statement'!D5</f>
        <v>0.319757111896441</v>
      </c>
      <c r="E11" s="37" t="n">
        <f aca="false">'Income Statement'!E10/'Income Statement'!E5</f>
        <v>0.322728865698376</v>
      </c>
      <c r="F11" s="37" t="n">
        <f aca="false">'Income Statement'!F10/'Income Statement'!F5</f>
        <v>0.3474054719385</v>
      </c>
      <c r="G11" s="37" t="n">
        <f aca="false">'Income Statement'!G10/'Income Statement'!G5</f>
        <v>0.34729945256261</v>
      </c>
    </row>
    <row r="12" customFormat="false" ht="15" hidden="false" customHeight="false" outlineLevel="0" collapsed="false">
      <c r="A12" s="4" t="s">
        <v>83</v>
      </c>
      <c r="B12" s="2" t="s">
        <v>159</v>
      </c>
      <c r="C12" s="37" t="n">
        <f aca="false">'Income Statement'!C11/'Income Statement'!C5</f>
        <v>0.142903018625562</v>
      </c>
      <c r="D12" s="37" t="n">
        <f aca="false">'Income Statement'!D11/'Income Statement'!D5</f>
        <v>0.115488997793701</v>
      </c>
      <c r="E12" s="37" t="n">
        <f aca="false">'Income Statement'!E11/'Income Statement'!E5</f>
        <v>0.122872941084849</v>
      </c>
      <c r="F12" s="37" t="n">
        <f aca="false">'Income Statement'!F11/'Income Statement'!F5</f>
        <v>0.0799412641171263</v>
      </c>
      <c r="G12" s="37" t="n">
        <f aca="false">'Income Statement'!G11/'Income Statement'!G5</f>
        <v>0.0818354239406871</v>
      </c>
    </row>
    <row r="13" customFormat="false" ht="15" hidden="false" customHeight="false" outlineLevel="0" collapsed="false">
      <c r="A13" s="4" t="s">
        <v>84</v>
      </c>
      <c r="B13" s="2" t="s">
        <v>159</v>
      </c>
      <c r="C13" s="37" t="n">
        <f aca="false">'Income Statement'!C12/'Income Statement'!C5</f>
        <v>0.00438878184542924</v>
      </c>
      <c r="D13" s="37" t="n">
        <f aca="false">'Income Statement'!D12/'Income Statement'!D5</f>
        <v>-0.000117148603002909</v>
      </c>
      <c r="E13" s="37" t="n">
        <f aca="false">'Income Statement'!E12/'Income Statement'!E5</f>
        <v>-0.00313461313811767</v>
      </c>
      <c r="F13" s="37" t="n">
        <f aca="false">'Income Statement'!F12/'Income Statement'!F5</f>
        <v>-0.0023105659806949</v>
      </c>
      <c r="G13" s="37" t="n">
        <f aca="false">'Income Statement'!G12/'Income Statement'!G5</f>
        <v>-0.00107763265658003</v>
      </c>
    </row>
    <row r="14" customFormat="false" ht="15" hidden="false" customHeight="false" outlineLevel="0" collapsed="false">
      <c r="A14" s="4" t="s">
        <v>85</v>
      </c>
      <c r="B14" s="2" t="s">
        <v>159</v>
      </c>
      <c r="C14" s="37" t="n">
        <f aca="false">'Income Statement'!C13/'Income Statement'!C5</f>
        <v>-0.00387497323913509</v>
      </c>
      <c r="D14" s="37" t="n">
        <f aca="false">'Income Statement'!D13/'Income Statement'!D5</f>
        <v>-0.00546693480680243</v>
      </c>
      <c r="E14" s="37" t="n">
        <f aca="false">'Income Statement'!E13/'Income Statement'!E5</f>
        <v>-0.00443907947509832</v>
      </c>
      <c r="F14" s="37" t="n">
        <f aca="false">'Income Statement'!F13/'Income Statement'!F5</f>
        <v>-0.00164114966853096</v>
      </c>
      <c r="G14" s="37" t="n">
        <f aca="false">'Income Statement'!G13/'Income Statement'!G5</f>
        <v>-0.00114229061597483</v>
      </c>
    </row>
    <row r="15" customFormat="false" ht="15" hidden="false" customHeight="false" outlineLevel="0" collapsed="false">
      <c r="A15" s="4" t="s">
        <v>86</v>
      </c>
      <c r="B15" s="2" t="s">
        <v>159</v>
      </c>
      <c r="C15" s="37" t="n">
        <f aca="false">'Income Statement'!C14/'Income Statement'!C5</f>
        <v>0.142389210019268</v>
      </c>
      <c r="D15" s="37" t="n">
        <f aca="false">'Income Statement'!D14/'Income Statement'!D5</f>
        <v>0.121073081203507</v>
      </c>
      <c r="E15" s="37" t="n">
        <f aca="false">'Income Statement'!E14/'Income Statement'!E5</f>
        <v>0.130446633698065</v>
      </c>
      <c r="F15" s="37" t="n">
        <f aca="false">'Income Statement'!F14/'Income Statement'!F5</f>
        <v>0.0838929797663521</v>
      </c>
      <c r="G15" s="37" t="n">
        <f aca="false">'Income Statement'!G14/'Income Statement'!G5</f>
        <v>0.084055347213242</v>
      </c>
    </row>
    <row r="16" customFormat="false" ht="15" hidden="false" customHeight="false" outlineLevel="0" collapsed="false">
      <c r="A16" s="4" t="s">
        <v>87</v>
      </c>
      <c r="B16" s="2" t="s">
        <v>159</v>
      </c>
      <c r="C16" s="37" t="n">
        <f aca="false">'Income Statement'!C15/'Income Statement'!C5</f>
        <v>0.0129522586169985</v>
      </c>
      <c r="D16" s="37" t="n">
        <f aca="false">'Income Statement'!D15/'Income Statement'!D5</f>
        <v>0.0220825116660484</v>
      </c>
      <c r="E16" s="37" t="n">
        <f aca="false">'Income Statement'!E15/'Income Statement'!E5</f>
        <v>0.0194696468206067</v>
      </c>
      <c r="F16" s="37" t="n">
        <f aca="false">'Income Statement'!F15/'Income Statement'!F5</f>
        <v>0.0143816536742318</v>
      </c>
      <c r="G16" s="37" t="n">
        <f aca="false">'Income Statement'!G15/'Income Statement'!G5</f>
        <v>0.0170697012802276</v>
      </c>
    </row>
    <row r="17" customFormat="false" ht="15" hidden="false" customHeight="false" outlineLevel="0" collapsed="false">
      <c r="A17" s="4" t="s">
        <v>45</v>
      </c>
      <c r="B17" s="2" t="s">
        <v>159</v>
      </c>
      <c r="C17" s="37" t="n">
        <f aca="false">'Income Statement'!C16/'Income Statement'!C5</f>
        <v>0.129436951402269</v>
      </c>
      <c r="D17" s="37" t="n">
        <f aca="false">'Income Statement'!D16/'Income Statement'!D5</f>
        <v>0.0989905695374583</v>
      </c>
      <c r="E17" s="37" t="n">
        <f aca="false">'Income Statement'!E16/'Income Statement'!E5</f>
        <v>0.110976986877458</v>
      </c>
      <c r="F17" s="37" t="n">
        <f aca="false">'Income Statement'!F16/'Income Statement'!F5</f>
        <v>0.0695113260921203</v>
      </c>
      <c r="G17" s="37" t="n">
        <f aca="false">'Income Statement'!G16/'Income Statement'!G5</f>
        <v>0.0669856459330144</v>
      </c>
    </row>
    <row r="19" customFormat="false" ht="15" hidden="false" customHeight="false" outlineLevel="0" collapsed="false">
      <c r="A19" s="19" t="s">
        <v>160</v>
      </c>
      <c r="B19" s="20"/>
      <c r="C19" s="20"/>
      <c r="D19" s="20"/>
      <c r="E19" s="20"/>
      <c r="F19" s="20"/>
      <c r="G19" s="20"/>
    </row>
    <row r="20" customFormat="false" ht="15" hidden="false" customHeight="false" outlineLevel="0" collapsed="false">
      <c r="A20" s="4" t="s">
        <v>92</v>
      </c>
      <c r="B20" s="2" t="s">
        <v>161</v>
      </c>
      <c r="C20" s="37" t="n">
        <f aca="false">'Balance Sheet'!C6/'Balance Sheet'!C17</f>
        <v>0.212643535626597</v>
      </c>
      <c r="D20" s="37" t="n">
        <f aca="false">'Balance Sheet'!D6/'Balance Sheet'!D17</f>
        <v>0.198262769443926</v>
      </c>
      <c r="E20" s="37" t="n">
        <f aca="false">'Balance Sheet'!E6/'Balance Sheet'!E17</f>
        <v>0.258724744161637</v>
      </c>
      <c r="F20" s="37" t="n">
        <f aca="false">'Balance Sheet'!F6/'Balance Sheet'!F17</f>
        <v>0.204051504961863</v>
      </c>
      <c r="G20" s="37" t="n">
        <f aca="false">'Balance Sheet'!G6/'Balance Sheet'!G17</f>
        <v>0.196901848476959</v>
      </c>
    </row>
    <row r="21" customFormat="false" ht="15" hidden="false" customHeight="false" outlineLevel="0" collapsed="false">
      <c r="A21" s="4" t="s">
        <v>93</v>
      </c>
      <c r="B21" s="2" t="s">
        <v>161</v>
      </c>
      <c r="C21" s="37" t="n">
        <f aca="false">'Balance Sheet'!C7/'Balance Sheet'!C17</f>
        <v>0.109694700032241</v>
      </c>
      <c r="D21" s="37" t="n">
        <f aca="false">'Balance Sheet'!D7/'Balance Sheet'!D17</f>
        <v>0.0861687671524873</v>
      </c>
      <c r="E21" s="37" t="n">
        <f aca="false">'Balance Sheet'!E7/'Balance Sheet'!E17</f>
        <v>0.0451849908160588</v>
      </c>
      <c r="F21" s="37" t="n">
        <f aca="false">'Balance Sheet'!F7/'Balance Sheet'!F17</f>
        <v>0.046119358101643</v>
      </c>
      <c r="G21" s="37" t="n">
        <f aca="false">'Balance Sheet'!G7/'Balance Sheet'!G17</f>
        <v>0.0381150741994272</v>
      </c>
    </row>
    <row r="22" customFormat="false" ht="15" hidden="false" customHeight="false" outlineLevel="0" collapsed="false">
      <c r="A22" s="4" t="s">
        <v>94</v>
      </c>
      <c r="B22" s="2" t="s">
        <v>161</v>
      </c>
      <c r="C22" s="37" t="n">
        <f aca="false">'Balance Sheet'!C8/'Balance Sheet'!C17</f>
        <v>0.11574613724858</v>
      </c>
      <c r="D22" s="37" t="n">
        <f aca="false">'Balance Sheet'!D8/'Balance Sheet'!D17</f>
        <v>0.110069009618715</v>
      </c>
      <c r="E22" s="37" t="n">
        <f aca="false">'Balance Sheet'!E8/'Balance Sheet'!E17</f>
        <v>0.116163736552086</v>
      </c>
      <c r="F22" s="37" t="n">
        <f aca="false">'Balance Sheet'!F8/'Balance Sheet'!F17</f>
        <v>0.128953771289538</v>
      </c>
      <c r="G22" s="37" t="n">
        <f aca="false">'Balance Sheet'!G8/'Balance Sheet'!G17</f>
        <v>0.154412913303827</v>
      </c>
    </row>
    <row r="23" customFormat="false" ht="15" hidden="false" customHeight="false" outlineLevel="0" collapsed="false">
      <c r="A23" s="4" t="s">
        <v>95</v>
      </c>
      <c r="B23" s="2" t="s">
        <v>161</v>
      </c>
      <c r="C23" s="37" t="n">
        <f aca="false">'Balance Sheet'!C9/'Balance Sheet'!C17</f>
        <v>0.208824185908088</v>
      </c>
      <c r="D23" s="37" t="n">
        <f aca="false">'Balance Sheet'!D9/'Balance Sheet'!D17</f>
        <v>0.225253790200101</v>
      </c>
      <c r="E23" s="37" t="n">
        <f aca="false">'Balance Sheet'!E9/'Balance Sheet'!E17</f>
        <v>0.197297297297297</v>
      </c>
      <c r="F23" s="37" t="n">
        <f aca="false">'Balance Sheet'!F9/'Balance Sheet'!F17</f>
        <v>0.204734957215889</v>
      </c>
      <c r="G23" s="37" t="n">
        <f aca="false">'Balance Sheet'!G9/'Balance Sheet'!G17</f>
        <v>0.195287685498568</v>
      </c>
    </row>
    <row r="24" customFormat="false" ht="15" hidden="false" customHeight="false" outlineLevel="0" collapsed="false">
      <c r="A24" s="4" t="s">
        <v>96</v>
      </c>
      <c r="B24" s="2" t="s">
        <v>161</v>
      </c>
      <c r="C24" s="37" t="n">
        <f aca="false">'Balance Sheet'!C10/'Balance Sheet'!C17</f>
        <v>0.0528012698097765</v>
      </c>
      <c r="D24" s="37" t="n">
        <f aca="false">'Balance Sheet'!D10/'Balance Sheet'!D17</f>
        <v>0.0517438917161813</v>
      </c>
      <c r="E24" s="37" t="n">
        <f aca="false">'Balance Sheet'!E10/'Balance Sheet'!E17</f>
        <v>0.0486486486486487</v>
      </c>
      <c r="F24" s="37" t="n">
        <f aca="false">'Balance Sheet'!F10/'Balance Sheet'!F17</f>
        <v>0.0548128707728478</v>
      </c>
      <c r="G24" s="37" t="n">
        <f aca="false">'Balance Sheet'!G10/'Balance Sheet'!G17</f>
        <v>0.0558187971882322</v>
      </c>
    </row>
    <row r="25" customFormat="false" ht="15" hidden="false" customHeight="false" outlineLevel="0" collapsed="false">
      <c r="A25" s="4" t="s">
        <v>97</v>
      </c>
      <c r="B25" s="2" t="s">
        <v>161</v>
      </c>
      <c r="C25" s="37" t="n">
        <f aca="false">'Balance Sheet'!C11/'Balance Sheet'!C17</f>
        <v>0.699709828625282</v>
      </c>
      <c r="D25" s="37" t="n">
        <f aca="false">'Balance Sheet'!D11/'Balance Sheet'!D17</f>
        <v>0.671498228131411</v>
      </c>
      <c r="E25" s="37" t="n">
        <f aca="false">'Balance Sheet'!E11/'Balance Sheet'!E17</f>
        <v>0.666019417475728</v>
      </c>
      <c r="F25" s="37" t="n">
        <f aca="false">'Balance Sheet'!F11/'Balance Sheet'!F17</f>
        <v>0.638672462341781</v>
      </c>
      <c r="G25" s="37" t="n">
        <f aca="false">'Balance Sheet'!G11/'Balance Sheet'!G17</f>
        <v>0.640536318667014</v>
      </c>
    </row>
    <row r="26" customFormat="false" ht="15" hidden="false" customHeight="false" outlineLevel="0" collapsed="false">
      <c r="A26" s="4" t="s">
        <v>98</v>
      </c>
      <c r="B26" s="2" t="s">
        <v>161</v>
      </c>
      <c r="C26" s="37" t="n">
        <f aca="false">'Balance Sheet'!C12/'Balance Sheet'!C17</f>
        <v>0.118821457801146</v>
      </c>
      <c r="D26" s="37" t="n">
        <f aca="false">'Balance Sheet'!D12/'Balance Sheet'!D17</f>
        <v>0.135381418027764</v>
      </c>
      <c r="E26" s="37" t="n">
        <f aca="false">'Balance Sheet'!E12/'Balance Sheet'!E17</f>
        <v>0.131199160325374</v>
      </c>
      <c r="F26" s="37" t="n">
        <f aca="false">'Balance Sheet'!F12/'Balance Sheet'!F17</f>
        <v>0.131988299297411</v>
      </c>
      <c r="G26" s="37" t="n">
        <f aca="false">'Balance Sheet'!G12/'Balance Sheet'!G17</f>
        <v>0.124863316844572</v>
      </c>
    </row>
    <row r="27" customFormat="false" ht="15" hidden="false" customHeight="false" outlineLevel="0" collapsed="false">
      <c r="A27" s="4" t="s">
        <v>99</v>
      </c>
      <c r="B27" s="2" t="s">
        <v>161</v>
      </c>
      <c r="C27" s="37" t="n">
        <f aca="false">'Balance Sheet'!C13/'Balance Sheet'!C17</f>
        <v>0.0725676446516703</v>
      </c>
      <c r="D27" s="37" t="n">
        <f aca="false">'Balance Sheet'!D13/'Balance Sheet'!D17</f>
        <v>0.0778822839785777</v>
      </c>
      <c r="E27" s="37" t="n">
        <f aca="false">'Balance Sheet'!E13/'Balance Sheet'!E17</f>
        <v>0.0713198635528733</v>
      </c>
      <c r="F27" s="37" t="n">
        <f aca="false">'Balance Sheet'!F13/'Balance Sheet'!F17</f>
        <v>0.0741409005166899</v>
      </c>
      <c r="G27" s="37" t="n">
        <f aca="false">'Balance Sheet'!G13/'Balance Sheet'!G17</f>
        <v>0.0738870085915126</v>
      </c>
    </row>
    <row r="28" customFormat="false" ht="15" hidden="false" customHeight="false" outlineLevel="0" collapsed="false">
      <c r="A28" s="4" t="s">
        <v>100</v>
      </c>
      <c r="B28" s="2" t="s">
        <v>161</v>
      </c>
      <c r="C28" s="37" t="n">
        <f aca="false">'Balance Sheet'!C14/'Balance Sheet'!C17</f>
        <v>0.00709307804865951</v>
      </c>
      <c r="D28" s="37" t="n">
        <f aca="false">'Balance Sheet'!D14/'Balance Sheet'!D17</f>
        <v>0.00730063147797821</v>
      </c>
      <c r="E28" s="37" t="n">
        <f aca="false">'Balance Sheet'!E14/'Balance Sheet'!E17</f>
        <v>0.00679611650485437</v>
      </c>
      <c r="F28" s="37" t="n">
        <f aca="false">'Balance Sheet'!F14/'Balance Sheet'!F17</f>
        <v>0.00708056535170453</v>
      </c>
      <c r="G28" s="37" t="n">
        <f aca="false">'Balance Sheet'!G14/'Balance Sheet'!G17</f>
        <v>0.00674303566779485</v>
      </c>
    </row>
    <row r="29" customFormat="false" ht="15" hidden="false" customHeight="false" outlineLevel="0" collapsed="false">
      <c r="A29" s="4" t="s">
        <v>101</v>
      </c>
      <c r="B29" s="2" t="s">
        <v>161</v>
      </c>
      <c r="C29" s="37" t="n">
        <f aca="false">'Balance Sheet'!C15/'Balance Sheet'!C17</f>
        <v>0.00704347610426329</v>
      </c>
      <c r="D29" s="37" t="n">
        <f aca="false">'Balance Sheet'!D15/'Balance Sheet'!D17</f>
        <v>0.00748714396099225</v>
      </c>
      <c r="E29" s="37" t="n">
        <f aca="false">'Balance Sheet'!E15/'Balance Sheet'!E17</f>
        <v>0.00629755969561795</v>
      </c>
      <c r="F29" s="37" t="n">
        <f aca="false">'Balance Sheet'!F15/'Balance Sheet'!F17</f>
        <v>0.00656114163864512</v>
      </c>
      <c r="G29" s="37" t="n">
        <f aca="false">'Balance Sheet'!G15/'Balance Sheet'!G17</f>
        <v>0.00624837281957824</v>
      </c>
    </row>
    <row r="30" customFormat="false" ht="15" hidden="false" customHeight="false" outlineLevel="0" collapsed="false">
      <c r="A30" s="4" t="s">
        <v>102</v>
      </c>
      <c r="B30" s="2" t="s">
        <v>161</v>
      </c>
      <c r="C30" s="37" t="n">
        <f aca="false">'Balance Sheet'!C16/'Balance Sheet'!C17</f>
        <v>0.0947645147689789</v>
      </c>
      <c r="D30" s="37" t="n">
        <f aca="false">'Balance Sheet'!D16/'Balance Sheet'!D17</f>
        <v>0.100450294423277</v>
      </c>
      <c r="E30" s="37" t="n">
        <f aca="false">'Balance Sheet'!E16/'Balance Sheet'!E17</f>
        <v>0.118367882445552</v>
      </c>
      <c r="F30" s="37" t="n">
        <f aca="false">'Balance Sheet'!F16/'Balance Sheet'!F17</f>
        <v>0.141556630853769</v>
      </c>
      <c r="G30" s="37" t="n">
        <f aca="false">'Balance Sheet'!G16/'Balance Sheet'!G17</f>
        <v>0.147721947409529</v>
      </c>
    </row>
    <row r="31" customFormat="false" ht="15" hidden="false" customHeight="false" outlineLevel="0" collapsed="false">
      <c r="A31" s="4" t="s">
        <v>103</v>
      </c>
      <c r="B31" s="2" t="s">
        <v>161</v>
      </c>
      <c r="C31" s="37" t="n">
        <f aca="false">'Balance Sheet'!C17/'Balance Sheet'!C17</f>
        <v>1</v>
      </c>
      <c r="D31" s="37" t="n">
        <f aca="false">'Balance Sheet'!D17/'Balance Sheet'!D17</f>
        <v>1</v>
      </c>
      <c r="E31" s="37" t="n">
        <f aca="false">'Balance Sheet'!E17/'Balance Sheet'!E17</f>
        <v>1</v>
      </c>
      <c r="F31" s="37" t="n">
        <f aca="false">'Balance Sheet'!F17/'Balance Sheet'!F17</f>
        <v>1</v>
      </c>
      <c r="G31" s="37" t="n">
        <f aca="false">'Balance Sheet'!G17/'Balance Sheet'!G17</f>
        <v>1</v>
      </c>
    </row>
    <row r="32" customFormat="false" ht="15" hidden="false" customHeight="false" outlineLevel="0" collapsed="false">
      <c r="A32" s="4" t="s">
        <v>105</v>
      </c>
      <c r="B32" s="2" t="s">
        <v>161</v>
      </c>
      <c r="C32" s="37" t="n">
        <f aca="false">'Balance Sheet'!C20/'Balance Sheet'!C17</f>
        <v>0.0124004860990551</v>
      </c>
      <c r="D32" s="37" t="n">
        <f aca="false">'Balance Sheet'!D20/'Balance Sheet'!D17</f>
        <v>0</v>
      </c>
      <c r="E32" s="37" t="n">
        <f aca="false">'Balance Sheet'!E20/'Balance Sheet'!E17</f>
        <v>0.0262398320650748</v>
      </c>
      <c r="F32" s="37" t="n">
        <f aca="false">'Balance Sheet'!F20/'Balance Sheet'!F17</f>
        <v>0</v>
      </c>
      <c r="G32" s="37" t="n">
        <f aca="false">'Balance Sheet'!G20/'Balance Sheet'!G17</f>
        <v>0.0520697734964853</v>
      </c>
    </row>
    <row r="33" customFormat="false" ht="15" hidden="false" customHeight="false" outlineLevel="0" collapsed="false">
      <c r="A33" s="4" t="s">
        <v>106</v>
      </c>
      <c r="B33" s="2" t="s">
        <v>161</v>
      </c>
      <c r="C33" s="37" t="n">
        <f aca="false">'Balance Sheet'!C21/'Balance Sheet'!C17</f>
        <v>0.000248009721981102</v>
      </c>
      <c r="D33" s="37" t="n">
        <f aca="false">'Balance Sheet'!D21/'Balance Sheet'!D17</f>
        <v>0.000159867842583464</v>
      </c>
      <c r="E33" s="37" t="n">
        <f aca="false">'Balance Sheet'!E21/'Balance Sheet'!E17</f>
        <v>0.000157438992390449</v>
      </c>
      <c r="F33" s="37" t="n">
        <f aca="false">'Balance Sheet'!F21/'Balance Sheet'!F17</f>
        <v>0.000136690450805107</v>
      </c>
      <c r="G33" s="37" t="n">
        <f aca="false">'Balance Sheet'!G21/'Balance Sheet'!G17</f>
        <v>0</v>
      </c>
    </row>
    <row r="34" customFormat="false" ht="15" hidden="false" customHeight="false" outlineLevel="0" collapsed="false">
      <c r="A34" s="4" t="s">
        <v>107</v>
      </c>
      <c r="B34" s="2" t="s">
        <v>161</v>
      </c>
      <c r="C34" s="37" t="n">
        <f aca="false">'Balance Sheet'!C22/'Balance Sheet'!C17</f>
        <v>0.0832816646412539</v>
      </c>
      <c r="D34" s="37" t="n">
        <f aca="false">'Balance Sheet'!D22/'Balance Sheet'!D17</f>
        <v>0.0762569609123125</v>
      </c>
      <c r="E34" s="37" t="n">
        <f aca="false">'Balance Sheet'!E22/'Balance Sheet'!E17</f>
        <v>0.0748097612175282</v>
      </c>
      <c r="F34" s="37" t="n">
        <f aca="false">'Balance Sheet'!F22/'Balance Sheet'!F17</f>
        <v>0.0951092156701933</v>
      </c>
      <c r="G34" s="37" t="n">
        <f aca="false">'Balance Sheet'!G22/'Balance Sheet'!G17</f>
        <v>0.0937255922936735</v>
      </c>
    </row>
    <row r="35" customFormat="false" ht="15" hidden="false" customHeight="false" outlineLevel="0" collapsed="false">
      <c r="A35" s="4" t="s">
        <v>108</v>
      </c>
      <c r="B35" s="2" t="s">
        <v>161</v>
      </c>
      <c r="C35" s="37" t="n">
        <f aca="false">'Balance Sheet'!C23/'Balance Sheet'!C17</f>
        <v>0.0104164083232063</v>
      </c>
      <c r="D35" s="37" t="n">
        <f aca="false">'Balance Sheet'!D23/'Balance Sheet'!D17</f>
        <v>0.0113239721829954</v>
      </c>
      <c r="E35" s="37" t="n">
        <f aca="false">'Balance Sheet'!E23/'Balance Sheet'!E17</f>
        <v>0.0125163998950407</v>
      </c>
      <c r="F35" s="37" t="n">
        <f aca="false">'Balance Sheet'!F23/'Balance Sheet'!F17</f>
        <v>0.0137237212608327</v>
      </c>
      <c r="G35" s="37" t="n">
        <f aca="false">'Balance Sheet'!G23/'Balance Sheet'!G17</f>
        <v>0.01244467586566</v>
      </c>
    </row>
    <row r="36" customFormat="false" ht="15" hidden="false" customHeight="false" outlineLevel="0" collapsed="false">
      <c r="A36" s="4" t="s">
        <v>109</v>
      </c>
      <c r="B36" s="2" t="s">
        <v>161</v>
      </c>
      <c r="C36" s="37" t="n">
        <f aca="false">'Balance Sheet'!C24/'Balance Sheet'!C17</f>
        <v>0.154262047072245</v>
      </c>
      <c r="D36" s="37" t="n">
        <f aca="false">'Balance Sheet'!D24/'Balance Sheet'!D17</f>
        <v>0.152487277184194</v>
      </c>
      <c r="E36" s="37" t="n">
        <f aca="false">'Balance Sheet'!E24/'Balance Sheet'!E17</f>
        <v>0.150223038572553</v>
      </c>
      <c r="F36" s="37" t="n">
        <f aca="false">'Balance Sheet'!F24/'Balance Sheet'!F17</f>
        <v>0.161595450941797</v>
      </c>
      <c r="G36" s="37" t="n">
        <f aca="false">'Balance Sheet'!G24/'Balance Sheet'!G17</f>
        <v>0.158604530070294</v>
      </c>
    </row>
    <row r="37" customFormat="false" ht="15" hidden="false" customHeight="false" outlineLevel="0" collapsed="false">
      <c r="A37" s="4" t="s">
        <v>110</v>
      </c>
      <c r="B37" s="2" t="s">
        <v>161</v>
      </c>
      <c r="C37" s="37" t="n">
        <f aca="false">'Balance Sheet'!C25/'Balance Sheet'!C17</f>
        <v>0.00550581582798046</v>
      </c>
      <c r="D37" s="37" t="n">
        <f aca="false">'Balance Sheet'!D25/'Balance Sheet'!D17</f>
        <v>0.00639471370333857</v>
      </c>
      <c r="E37" s="37" t="n">
        <f aca="false">'Balance Sheet'!E25/'Balance Sheet'!E17</f>
        <v>0.0140120703227499</v>
      </c>
      <c r="F37" s="37" t="n">
        <f aca="false">'Balance Sheet'!F25/'Balance Sheet'!F17</f>
        <v>0.0182891823177233</v>
      </c>
      <c r="G37" s="37" t="n">
        <f aca="false">'Balance Sheet'!G25/'Balance Sheet'!G17</f>
        <v>0.00981515230408748</v>
      </c>
    </row>
    <row r="38" customFormat="false" ht="15" hidden="false" customHeight="false" outlineLevel="0" collapsed="false">
      <c r="A38" s="4" t="s">
        <v>111</v>
      </c>
      <c r="B38" s="2" t="s">
        <v>161</v>
      </c>
      <c r="C38" s="37" t="n">
        <f aca="false">'Balance Sheet'!C26/'Balance Sheet'!C17</f>
        <v>0.266114431685722</v>
      </c>
      <c r="D38" s="37" t="n">
        <f aca="false">'Balance Sheet'!D26/'Balance Sheet'!D17</f>
        <v>0.246622791825424</v>
      </c>
      <c r="E38" s="37" t="n">
        <f aca="false">'Balance Sheet'!E26/'Balance Sheet'!E17</f>
        <v>0.277958541065337</v>
      </c>
      <c r="F38" s="37" t="n">
        <f aca="false">'Balance Sheet'!F26/'Balance Sheet'!F17</f>
        <v>0.288854260641352</v>
      </c>
      <c r="G38" s="37" t="n">
        <f aca="false">'Balance Sheet'!G26/'Balance Sheet'!G17</f>
        <v>0.326659724030201</v>
      </c>
    </row>
    <row r="39" customFormat="false" ht="15" hidden="false" customHeight="false" outlineLevel="0" collapsed="false">
      <c r="A39" s="4" t="s">
        <v>112</v>
      </c>
      <c r="B39" s="2" t="s">
        <v>161</v>
      </c>
      <c r="C39" s="37" t="n">
        <f aca="false">'Balance Sheet'!C27/'Balance Sheet'!C17</f>
        <v>0.221224672007143</v>
      </c>
      <c r="D39" s="37" t="n">
        <f aca="false">'Balance Sheet'!D27/'Balance Sheet'!D17</f>
        <v>0.237856705123764</v>
      </c>
      <c r="E39" s="37" t="n">
        <f aca="false">'Balance Sheet'!E27/'Balance Sheet'!E17</f>
        <v>0.207373392810286</v>
      </c>
      <c r="F39" s="37" t="n">
        <f aca="false">'Balance Sheet'!F27/'Balance Sheet'!F17</f>
        <v>0.217638535771891</v>
      </c>
      <c r="G39" s="37" t="n">
        <f aca="false">'Balance Sheet'!G27/'Balance Sheet'!G17</f>
        <v>0.154699297058058</v>
      </c>
    </row>
    <row r="40" customFormat="false" ht="15" hidden="false" customHeight="false" outlineLevel="0" collapsed="false">
      <c r="A40" s="4" t="s">
        <v>113</v>
      </c>
      <c r="B40" s="2" t="s">
        <v>161</v>
      </c>
      <c r="C40" s="37" t="n">
        <f aca="false">'Balance Sheet'!C28/'Balance Sheet'!C17</f>
        <v>0.0688722997941519</v>
      </c>
      <c r="D40" s="37" t="n">
        <f aca="false">'Balance Sheet'!D28/'Balance Sheet'!D17</f>
        <v>0.0742319682395886</v>
      </c>
      <c r="E40" s="37" t="n">
        <f aca="false">'Balance Sheet'!E28/'Balance Sheet'!E17</f>
        <v>0.0673314090789819</v>
      </c>
      <c r="F40" s="37" t="n">
        <f aca="false">'Balance Sheet'!F28/'Balance Sheet'!F17</f>
        <v>0.0697121299106045</v>
      </c>
      <c r="G40" s="37" t="n">
        <f aca="false">'Balance Sheet'!G28/'Balance Sheet'!G17</f>
        <v>0.068029159073158</v>
      </c>
    </row>
    <row r="41" customFormat="false" ht="15" hidden="false" customHeight="false" outlineLevel="0" collapsed="false">
      <c r="A41" s="4" t="s">
        <v>114</v>
      </c>
      <c r="B41" s="2" t="s">
        <v>161</v>
      </c>
      <c r="C41" s="37" t="n">
        <f aca="false">'Balance Sheet'!C29/'Balance Sheet'!C17</f>
        <v>0.0648049403536619</v>
      </c>
      <c r="D41" s="37" t="n">
        <f aca="false">'Balance Sheet'!D29/'Balance Sheet'!D17</f>
        <v>0.068156990221417</v>
      </c>
      <c r="E41" s="37" t="n">
        <f aca="false">'Balance Sheet'!E29/'Balance Sheet'!E17</f>
        <v>0.0686958803463658</v>
      </c>
      <c r="F41" s="37" t="n">
        <f aca="false">'Balance Sheet'!F29/'Balance Sheet'!F17</f>
        <v>0.0625768883785779</v>
      </c>
      <c r="G41" s="37" t="n">
        <f aca="false">'Balance Sheet'!G29/'Balance Sheet'!G17</f>
        <v>0.0636032283259568</v>
      </c>
    </row>
    <row r="42" customFormat="false" ht="15" hidden="false" customHeight="false" outlineLevel="0" collapsed="false">
      <c r="A42" s="4" t="s">
        <v>115</v>
      </c>
      <c r="B42" s="2" t="s">
        <v>161</v>
      </c>
      <c r="C42" s="37" t="n">
        <f aca="false">'Balance Sheet'!C30/'Balance Sheet'!C17</f>
        <v>0.621016343840679</v>
      </c>
      <c r="D42" s="37" t="n">
        <f aca="false">'Balance Sheet'!D30/'Balance Sheet'!D17</f>
        <v>0.626868455410194</v>
      </c>
      <c r="E42" s="37" t="n">
        <f aca="false">'Balance Sheet'!E30/'Balance Sheet'!E17</f>
        <v>0.621359223300971</v>
      </c>
      <c r="F42" s="37" t="n">
        <f aca="false">'Balance Sheet'!F30/'Balance Sheet'!F17</f>
        <v>0.638781814702425</v>
      </c>
      <c r="G42" s="37" t="n">
        <f aca="false">'Balance Sheet'!G30/'Balance Sheet'!G17</f>
        <v>0.612991408487373</v>
      </c>
    </row>
    <row r="43" customFormat="false" ht="15" hidden="false" customHeight="false" outlineLevel="0" collapsed="false">
      <c r="A43" s="4" t="s">
        <v>117</v>
      </c>
      <c r="B43" s="2" t="s">
        <v>161</v>
      </c>
      <c r="C43" s="37" t="n">
        <f aca="false">'Balance Sheet'!C33/'Balance Sheet'!C17</f>
        <v>7.44029165943305E-005</v>
      </c>
      <c r="D43" s="37" t="n">
        <f aca="false">'Balance Sheet'!D33/'Balance Sheet'!D17</f>
        <v>7.99339212917322E-005</v>
      </c>
      <c r="E43" s="37" t="n">
        <f aca="false">'Balance Sheet'!E33/'Balance Sheet'!E17</f>
        <v>7.87194961952244E-005</v>
      </c>
      <c r="F43" s="37" t="n">
        <f aca="false">'Balance Sheet'!F33/'Balance Sheet'!F17</f>
        <v>8.20142704830641E-005</v>
      </c>
      <c r="G43" s="37" t="n">
        <f aca="false">'Balance Sheet'!G33/'Balance Sheet'!G17</f>
        <v>7.81046602447279E-005</v>
      </c>
    </row>
    <row r="44" customFormat="false" ht="15" hidden="false" customHeight="false" outlineLevel="0" collapsed="false">
      <c r="A44" s="4" t="s">
        <v>118</v>
      </c>
      <c r="B44" s="2" t="s">
        <v>161</v>
      </c>
      <c r="C44" s="37" t="n">
        <f aca="false">'Balance Sheet'!C34/'Balance Sheet'!C17</f>
        <v>0.284814364723097</v>
      </c>
      <c r="D44" s="37" t="n">
        <f aca="false">'Balance Sheet'!D34/'Balance Sheet'!D17</f>
        <v>0.330713277024327</v>
      </c>
      <c r="E44" s="37" t="n">
        <f aca="false">'Balance Sheet'!E34/'Balance Sheet'!E17</f>
        <v>0.351849908160588</v>
      </c>
      <c r="F44" s="37" t="n">
        <f aca="false">'Balance Sheet'!F34/'Balance Sheet'!F17</f>
        <v>0.388064189835698</v>
      </c>
      <c r="G44" s="37" t="n">
        <f aca="false">'Balance Sheet'!G34/'Balance Sheet'!G17</f>
        <v>0.394636813329862</v>
      </c>
    </row>
    <row r="45" customFormat="false" ht="15" hidden="false" customHeight="false" outlineLevel="0" collapsed="false">
      <c r="A45" s="4" t="s">
        <v>119</v>
      </c>
      <c r="B45" s="2" t="s">
        <v>161</v>
      </c>
      <c r="C45" s="37" t="n">
        <f aca="false">'Balance Sheet'!C35/'Balance Sheet'!C17</f>
        <v>0.00788670915899903</v>
      </c>
      <c r="D45" s="37" t="n">
        <f aca="false">'Balance Sheet'!D35/'Balance Sheet'!D17</f>
        <v>0.00615491193946338</v>
      </c>
      <c r="E45" s="37" t="n">
        <f aca="false">'Balance Sheet'!E35/'Balance Sheet'!E17</f>
        <v>0.00139071109944896</v>
      </c>
      <c r="F45" s="37" t="n">
        <f aca="false">'Balance Sheet'!F35/'Balance Sheet'!F17</f>
        <v>-0.00705322726154351</v>
      </c>
      <c r="G45" s="37" t="n">
        <f aca="false">'Balance Sheet'!G35/'Balance Sheet'!G17</f>
        <v>-0.00367091903150221</v>
      </c>
    </row>
    <row r="46" customFormat="false" ht="15" hidden="false" customHeight="false" outlineLevel="0" collapsed="false">
      <c r="A46" s="4" t="s">
        <v>120</v>
      </c>
      <c r="B46" s="2" t="s">
        <v>161</v>
      </c>
      <c r="C46" s="37" t="n">
        <f aca="false">'Balance Sheet'!C36/'Balance Sheet'!C17</f>
        <v>0.0862081793606309</v>
      </c>
      <c r="D46" s="37" t="n">
        <f aca="false">'Balance Sheet'!D36/'Balance Sheet'!D17</f>
        <v>0.0361834217047241</v>
      </c>
      <c r="E46" s="37" t="n">
        <f aca="false">'Balance Sheet'!E36/'Balance Sheet'!E17</f>
        <v>0.0253214379427972</v>
      </c>
      <c r="F46" s="37" t="n">
        <f aca="false">'Balance Sheet'!F36/'Balance Sheet'!F17</f>
        <v>-0.0198747915470625</v>
      </c>
      <c r="G46" s="37" t="n">
        <f aca="false">'Balance Sheet'!G36/'Balance Sheet'!G17</f>
        <v>-0.00403540744597761</v>
      </c>
    </row>
    <row r="47" customFormat="false" ht="15" hidden="false" customHeight="false" outlineLevel="0" collapsed="false">
      <c r="A47" s="4" t="s">
        <v>121</v>
      </c>
      <c r="B47" s="2" t="s">
        <v>161</v>
      </c>
      <c r="C47" s="37" t="n">
        <f aca="false">'Balance Sheet'!C37/'Balance Sheet'!C17</f>
        <v>0.378983656159321</v>
      </c>
      <c r="D47" s="37" t="n">
        <f aca="false">'Balance Sheet'!D37/'Balance Sheet'!D17</f>
        <v>0.373131544589806</v>
      </c>
      <c r="E47" s="37" t="n">
        <f aca="false">'Balance Sheet'!E37/'Balance Sheet'!E17</f>
        <v>0.378640776699029</v>
      </c>
      <c r="F47" s="37" t="n">
        <f aca="false">'Balance Sheet'!F37/'Balance Sheet'!F17</f>
        <v>0.361218185297575</v>
      </c>
      <c r="G47" s="37" t="n">
        <f aca="false">'Balance Sheet'!G37/'Balance Sheet'!G17</f>
        <v>0.387008591512627</v>
      </c>
    </row>
    <row r="48" customFormat="false" ht="15" hidden="false" customHeight="false" outlineLevel="0" collapsed="false">
      <c r="A48" s="4" t="s">
        <v>122</v>
      </c>
      <c r="B48" s="2" t="s">
        <v>161</v>
      </c>
      <c r="C48" s="37" t="n">
        <f aca="false">'Balance Sheet'!C38/'Balance Sheet'!C17</f>
        <v>1</v>
      </c>
      <c r="D48" s="37" t="n">
        <f aca="false">'Balance Sheet'!D38/'Balance Sheet'!D17</f>
        <v>1</v>
      </c>
      <c r="E48" s="37" t="n">
        <f aca="false">'Balance Sheet'!E38/'Balance Sheet'!E17</f>
        <v>1</v>
      </c>
      <c r="F48" s="37" t="n">
        <f aca="false">'Balance Sheet'!F38/'Balance Sheet'!F17</f>
        <v>1</v>
      </c>
      <c r="G48" s="37" t="n">
        <f aca="false">'Balance Sheet'!G38/'Balance Sheet'!G17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2"/>
    <col collapsed="false" customWidth="true" hidden="false" outlineLevel="0" max="7" min="3" style="0" width="11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8" t="s">
        <v>162</v>
      </c>
    </row>
    <row r="2" customFormat="false" ht="15" hidden="false" customHeight="false" outlineLevel="0" collapsed="false">
      <c r="A2" s="2" t="s">
        <v>163</v>
      </c>
    </row>
    <row r="4" customFormat="false" ht="15" hidden="false" customHeight="false" outlineLevel="0" collapsed="false">
      <c r="A4" s="9" t="s">
        <v>33</v>
      </c>
      <c r="B4" s="9" t="s">
        <v>25</v>
      </c>
      <c r="C4" s="11" t="s">
        <v>34</v>
      </c>
      <c r="D4" s="11" t="s">
        <v>35</v>
      </c>
      <c r="E4" s="11" t="s">
        <v>36</v>
      </c>
      <c r="F4" s="11" t="s">
        <v>37</v>
      </c>
      <c r="G4" s="11" t="s">
        <v>38</v>
      </c>
      <c r="H4" s="9" t="s">
        <v>164</v>
      </c>
    </row>
    <row r="5" customFormat="false" ht="15" hidden="false" customHeight="false" outlineLevel="0" collapsed="false">
      <c r="A5" s="19" t="s">
        <v>165</v>
      </c>
      <c r="B5" s="20"/>
      <c r="C5" s="20"/>
      <c r="D5" s="20"/>
      <c r="E5" s="20"/>
      <c r="F5" s="20"/>
      <c r="G5" s="20"/>
      <c r="H5" s="20"/>
    </row>
    <row r="6" customFormat="false" ht="25.5" hidden="false" customHeight="true" outlineLevel="0" collapsed="false">
      <c r="A6" s="4" t="s">
        <v>42</v>
      </c>
      <c r="B6" s="2" t="s">
        <v>166</v>
      </c>
      <c r="C6" s="37" t="n">
        <f aca="false">'Income Statement'!C5/'Income Statement'!B5-1</f>
        <v>0.0487673447393238</v>
      </c>
      <c r="D6" s="37" t="n">
        <f aca="false">'Income Statement'!D5/'Income Statement'!C5-1</f>
        <v>0.0964889745236566</v>
      </c>
      <c r="E6" s="37" t="n">
        <f aca="false">'Income Statement'!E5/'Income Statement'!D5-1</f>
        <v>0.00283109123923708</v>
      </c>
      <c r="F6" s="37" t="n">
        <f aca="false">'Income Statement'!F5/'Income Statement'!E5-1</f>
        <v>-0.0983801253845256</v>
      </c>
      <c r="G6" s="37" t="n">
        <f aca="false">'Income Statement'!G5/'Income Statement'!F5-1</f>
        <v>0.00192187263814803</v>
      </c>
      <c r="H6" s="38" t="s">
        <v>167</v>
      </c>
    </row>
    <row r="7" customFormat="false" ht="25.5" hidden="false" customHeight="true" outlineLevel="0" collapsed="false">
      <c r="A7" s="4" t="s">
        <v>168</v>
      </c>
      <c r="B7" s="2" t="s">
        <v>169</v>
      </c>
      <c r="C7" s="37" t="n">
        <f aca="false">'Income Statement'!C11/'Income Statement'!B11-1</f>
        <v>-0.0377684878189419</v>
      </c>
      <c r="D7" s="37" t="n">
        <f aca="false">'Income Statement'!D11/'Income Statement'!C11-1</f>
        <v>-0.113857677902622</v>
      </c>
      <c r="E7" s="37" t="n">
        <f aca="false">'Income Statement'!E11/'Income Statement'!D11-1</f>
        <v>0.0669484361792054</v>
      </c>
      <c r="F7" s="37" t="n">
        <f aca="false">'Income Statement'!F11/'Income Statement'!E11-1</f>
        <v>-0.413405165583901</v>
      </c>
      <c r="G7" s="37" t="n">
        <f aca="false">'Income Statement'!G11/'Income Statement'!F11-1</f>
        <v>0.0256618044300379</v>
      </c>
      <c r="H7" s="38" t="s">
        <v>170</v>
      </c>
    </row>
    <row r="8" customFormat="false" ht="15" hidden="false" customHeight="false" outlineLevel="0" collapsed="false">
      <c r="A8" s="4" t="s">
        <v>171</v>
      </c>
      <c r="B8" s="2" t="s">
        <v>172</v>
      </c>
      <c r="C8" s="37" t="n">
        <f aca="false">'Income Statement'!C16/'Income Statement'!B16-1</f>
        <v>0.0557010651300856</v>
      </c>
      <c r="D8" s="37" t="n">
        <f aca="false">'Income Statement'!D16/'Income Statement'!C16-1</f>
        <v>-0.16142904399603</v>
      </c>
      <c r="E8" s="37" t="n">
        <f aca="false">'Income Statement'!E16/'Income Statement'!D16-1</f>
        <v>0.124260355029586</v>
      </c>
      <c r="F8" s="37" t="n">
        <f aca="false">'Income Statement'!F16/'Income Statement'!E16-1</f>
        <v>-0.435263157894737</v>
      </c>
      <c r="G8" s="37" t="n">
        <f aca="false">'Income Statement'!G16/'Income Statement'!F16-1</f>
        <v>-0.0344827586206896</v>
      </c>
    </row>
    <row r="9" customFormat="false" ht="25.5" hidden="false" customHeight="true" outlineLevel="0" collapsed="false">
      <c r="A9" s="4" t="s">
        <v>173</v>
      </c>
      <c r="B9" s="2" t="s">
        <v>174</v>
      </c>
      <c r="C9" s="37" t="n">
        <f aca="false">'Income Statement'!C18/'Income Statement'!B18-1</f>
        <v>0.053370786516854</v>
      </c>
      <c r="D9" s="37" t="n">
        <f aca="false">'Income Statement'!D18/'Income Statement'!C18-1</f>
        <v>-0.138666666666667</v>
      </c>
      <c r="E9" s="37" t="n">
        <f aca="false">'Income Statement'!E18/'Income Statement'!D18-1</f>
        <v>0.154798761609907</v>
      </c>
      <c r="F9" s="37" t="n">
        <f aca="false">'Income Statement'!F18/'Income Statement'!E18-1</f>
        <v>-0.420911528150134</v>
      </c>
      <c r="G9" s="37" t="n">
        <f aca="false">'Income Statement'!G18/'Income Statement'!F18-1</f>
        <v>-0.0277777777777778</v>
      </c>
      <c r="H9" s="38" t="s">
        <v>175</v>
      </c>
    </row>
    <row r="11" customFormat="false" ht="15" hidden="false" customHeight="false" outlineLevel="0" collapsed="false">
      <c r="A11" s="19" t="s">
        <v>176</v>
      </c>
      <c r="B11" s="20"/>
      <c r="C11" s="20"/>
      <c r="D11" s="20"/>
      <c r="E11" s="20"/>
      <c r="F11" s="20"/>
      <c r="G11" s="20"/>
      <c r="H11" s="20"/>
    </row>
    <row r="12" customFormat="false" ht="25.5" hidden="false" customHeight="true" outlineLevel="0" collapsed="false">
      <c r="A12" s="4" t="s">
        <v>43</v>
      </c>
      <c r="B12" s="2" t="s">
        <v>177</v>
      </c>
      <c r="C12" s="37" t="n">
        <f aca="false">'Income Statement'!C7/'Income Statement'!C5</f>
        <v>0.45983729394134</v>
      </c>
      <c r="D12" s="37" t="n">
        <f aca="false">'Income Statement'!D7/'Income Statement'!D5</f>
        <v>0.435246109690142</v>
      </c>
      <c r="E12" s="37" t="n">
        <f aca="false">'Income Statement'!E7/'Income Statement'!E5</f>
        <v>0.445601806783225</v>
      </c>
      <c r="F12" s="37" t="n">
        <f aca="false">'Income Statement'!F7/'Income Statement'!F5</f>
        <v>0.427346736055626</v>
      </c>
      <c r="G12" s="37" t="n">
        <f aca="false">'Income Statement'!G7/'Income Statement'!G5</f>
        <v>0.429134876503298</v>
      </c>
      <c r="H12" s="38" t="s">
        <v>178</v>
      </c>
    </row>
    <row r="13" customFormat="false" ht="13.5" hidden="false" customHeight="true" outlineLevel="0" collapsed="false">
      <c r="A13" s="4" t="s">
        <v>179</v>
      </c>
      <c r="B13" s="2" t="s">
        <v>180</v>
      </c>
      <c r="C13" s="37" t="n">
        <f aca="false">'Income Statement'!C8/'Income Statement'!C5</f>
        <v>0.0824234639263541</v>
      </c>
      <c r="D13" s="37" t="n">
        <f aca="false">'Income Statement'!D8/'Income Statement'!D5</f>
        <v>0.0792705546986352</v>
      </c>
      <c r="E13" s="37" t="n">
        <f aca="false">'Income Statement'!E8/'Income Statement'!E5</f>
        <v>0.0834274366262996</v>
      </c>
      <c r="F13" s="37" t="n">
        <f aca="false">'Income Statement'!F8/'Income Statement'!F5</f>
        <v>0.101254615733443</v>
      </c>
      <c r="G13" s="37" t="n">
        <f aca="false">'Income Statement'!G8/'Income Statement'!G5</f>
        <v>0.102461312987629</v>
      </c>
      <c r="H13" s="38" t="s">
        <v>181</v>
      </c>
    </row>
    <row r="14" customFormat="false" ht="15" hidden="false" customHeight="false" outlineLevel="0" collapsed="false">
      <c r="A14" s="4" t="s">
        <v>182</v>
      </c>
      <c r="B14" s="2" t="s">
        <v>183</v>
      </c>
      <c r="C14" s="37" t="n">
        <f aca="false">'Income Statement'!C9/'Income Statement'!C5</f>
        <v>0.234510811389424</v>
      </c>
      <c r="D14" s="37" t="n">
        <f aca="false">'Income Statement'!D9/'Income Statement'!D5</f>
        <v>0.240486557197805</v>
      </c>
      <c r="E14" s="37" t="n">
        <f aca="false">'Income Statement'!E9/'Income Statement'!E5</f>
        <v>0.239301429072077</v>
      </c>
      <c r="F14" s="37" t="n">
        <f aca="false">'Income Statement'!F9/'Income Statement'!F5</f>
        <v>0.246150856205057</v>
      </c>
      <c r="G14" s="37" t="n">
        <f aca="false">'Income Statement'!G9/'Income Statement'!G5</f>
        <v>0.244838139574982</v>
      </c>
    </row>
    <row r="15" customFormat="false" ht="13.5" hidden="false" customHeight="true" outlineLevel="0" collapsed="false">
      <c r="A15" s="4" t="s">
        <v>44</v>
      </c>
      <c r="B15" s="2" t="s">
        <v>184</v>
      </c>
      <c r="C15" s="37" t="n">
        <f aca="false">'Income Statement'!C11/'Income Statement'!C5</f>
        <v>0.142903018625562</v>
      </c>
      <c r="D15" s="37" t="n">
        <f aca="false">'Income Statement'!D11/'Income Statement'!D5</f>
        <v>0.115488997793701</v>
      </c>
      <c r="E15" s="37" t="n">
        <f aca="false">'Income Statement'!E11/'Income Statement'!E5</f>
        <v>0.122872941084849</v>
      </c>
      <c r="F15" s="37" t="n">
        <f aca="false">'Income Statement'!F11/'Income Statement'!F5</f>
        <v>0.0799412641171263</v>
      </c>
      <c r="G15" s="37" t="n">
        <f aca="false">'Income Statement'!G11/'Income Statement'!G5</f>
        <v>0.0818354239406871</v>
      </c>
      <c r="H15" s="38" t="s">
        <v>185</v>
      </c>
    </row>
    <row r="16" customFormat="false" ht="15" hidden="false" customHeight="false" outlineLevel="0" collapsed="false">
      <c r="A16" s="4" t="s">
        <v>186</v>
      </c>
      <c r="B16" s="2" t="s">
        <v>187</v>
      </c>
      <c r="C16" s="37" t="n">
        <f aca="false">('Income Statement'!C11+'Cash Flow'!C7)/'Income Statement'!C5</f>
        <v>0.1582530507386</v>
      </c>
      <c r="D16" s="37" t="n">
        <f aca="false">('Income Statement'!D11+'Cash Flow'!D7)/'Income Statement'!D5</f>
        <v>0.129214909112209</v>
      </c>
      <c r="E16" s="37" t="n">
        <f aca="false">('Income Statement'!E11+'Cash Flow'!E7)/'Income Statement'!E5</f>
        <v>0.138370779954052</v>
      </c>
      <c r="F16" s="37" t="n">
        <f aca="false">('Income Statement'!F11+'Cash Flow'!F7)/'Income Statement'!F5</f>
        <v>0.0966766719212248</v>
      </c>
      <c r="G16" s="37" t="n">
        <f aca="false">('Income Statement'!G11+'Cash Flow'!G7)/'Income Statement'!G5</f>
        <v>0.0979352558299927</v>
      </c>
    </row>
    <row r="17" customFormat="false" ht="15" hidden="false" customHeight="false" outlineLevel="0" collapsed="false">
      <c r="A17" s="4" t="s">
        <v>66</v>
      </c>
      <c r="B17" s="2" t="s">
        <v>188</v>
      </c>
      <c r="C17" s="37" t="n">
        <f aca="false">'Income Statement'!C16/'Income Statement'!C5</f>
        <v>0.129436951402269</v>
      </c>
      <c r="D17" s="37" t="n">
        <f aca="false">'Income Statement'!D16/'Income Statement'!D5</f>
        <v>0.0989905695374583</v>
      </c>
      <c r="E17" s="37" t="n">
        <f aca="false">'Income Statement'!E16/'Income Statement'!E5</f>
        <v>0.110976986877458</v>
      </c>
      <c r="F17" s="37" t="n">
        <f aca="false">'Income Statement'!F16/'Income Statement'!F5</f>
        <v>0.0695113260921203</v>
      </c>
      <c r="G17" s="37" t="n">
        <f aca="false">'Income Statement'!G16/'Income Statement'!G5</f>
        <v>0.0669856459330144</v>
      </c>
    </row>
    <row r="18" customFormat="false" ht="13.5" hidden="false" customHeight="true" outlineLevel="0" collapsed="false">
      <c r="A18" s="4" t="s">
        <v>189</v>
      </c>
      <c r="B18" s="2" t="s">
        <v>190</v>
      </c>
      <c r="C18" s="37" t="n">
        <f aca="false">'Income Statement'!C15/'Income Statement'!C14</f>
        <v>0.0909637648473914</v>
      </c>
      <c r="D18" s="37" t="n">
        <f aca="false">'Income Statement'!D15/'Income Statement'!D14</f>
        <v>0.182389937106918</v>
      </c>
      <c r="E18" s="37" t="n">
        <f aca="false">'Income Statement'!E15/'Income Statement'!E14</f>
        <v>0.149253731343284</v>
      </c>
      <c r="F18" s="37" t="n">
        <f aca="false">'Income Statement'!F15/'Income Statement'!F14</f>
        <v>0.171428571428571</v>
      </c>
      <c r="G18" s="37" t="n">
        <f aca="false">'Income Statement'!G15/'Income Statement'!G14</f>
        <v>0.203076923076923</v>
      </c>
      <c r="H18" s="38" t="s">
        <v>191</v>
      </c>
    </row>
    <row r="19" customFormat="false" ht="13.5" hidden="false" customHeight="true" outlineLevel="0" collapsed="false">
      <c r="A19" s="4" t="s">
        <v>192</v>
      </c>
      <c r="B19" s="2" t="s">
        <v>193</v>
      </c>
      <c r="C19" s="37" t="n">
        <f aca="false">'Income Statement'!C16/AVERAGE('Balance Sheet'!B37,'Balance Sheet'!C37)</f>
        <v>0.431118083285796</v>
      </c>
      <c r="D19" s="37" t="n">
        <f aca="false">'Income Statement'!D16/AVERAGE('Balance Sheet'!C37,'Balance Sheet'!D37)</f>
        <v>0.346252347618235</v>
      </c>
      <c r="E19" s="37" t="n">
        <f aca="false">'Income Statement'!E16/AVERAGE('Balance Sheet'!D37,'Balance Sheet'!E37)</f>
        <v>0.40092846592108</v>
      </c>
      <c r="F19" s="37" t="n">
        <f aca="false">'Income Statement'!F16/AVERAGE('Balance Sheet'!E37,'Balance Sheet'!F37)</f>
        <v>0.232898021198857</v>
      </c>
      <c r="G19" s="37" t="n">
        <f aca="false">'Income Statement'!G16/AVERAGE('Balance Sheet'!F37,'Balance Sheet'!G37)</f>
        <v>0.221383289408078</v>
      </c>
      <c r="H19" s="38" t="s">
        <v>194</v>
      </c>
    </row>
    <row r="20" customFormat="false" ht="15" hidden="false" customHeight="false" outlineLevel="0" collapsed="false">
      <c r="A20" s="4" t="s">
        <v>195</v>
      </c>
      <c r="B20" s="2" t="s">
        <v>196</v>
      </c>
      <c r="C20" s="37" t="n">
        <f aca="false">'Income Statement'!C16/AVERAGE('Balance Sheet'!B17,'Balance Sheet'!C17)</f>
        <v>0.154904497764569</v>
      </c>
      <c r="D20" s="37" t="n">
        <f aca="false">'Income Statement'!D16/AVERAGE('Balance Sheet'!C17,'Balance Sheet'!D17)</f>
        <v>0.130247135590608</v>
      </c>
      <c r="E20" s="37" t="n">
        <f aca="false">'Income Statement'!E16/AVERAGE('Balance Sheet'!D17,'Balance Sheet'!E17)</f>
        <v>0.150711915495565</v>
      </c>
      <c r="F20" s="37" t="n">
        <f aca="false">'Income Statement'!F16/AVERAGE('Balance Sheet'!E17,'Balance Sheet'!F17)</f>
        <v>0.0861974320181017</v>
      </c>
      <c r="G20" s="37" t="n">
        <f aca="false">'Income Statement'!G16/AVERAGE('Balance Sheet'!F17,'Balance Sheet'!G17)</f>
        <v>0.0828921575164358</v>
      </c>
    </row>
    <row r="22" customFormat="false" ht="15" hidden="false" customHeight="false" outlineLevel="0" collapsed="false">
      <c r="A22" s="19" t="s">
        <v>197</v>
      </c>
      <c r="B22" s="20"/>
      <c r="C22" s="20"/>
      <c r="D22" s="20"/>
      <c r="E22" s="20"/>
      <c r="F22" s="20"/>
      <c r="G22" s="20"/>
      <c r="H22" s="20"/>
    </row>
    <row r="23" customFormat="false" ht="13.5" hidden="false" customHeight="true" outlineLevel="0" collapsed="false">
      <c r="A23" s="4" t="s">
        <v>66</v>
      </c>
      <c r="B23" s="2" t="s">
        <v>188</v>
      </c>
      <c r="C23" s="37" t="n">
        <f aca="false">'Income Statement'!C16/'Income Statement'!C5</f>
        <v>0.129436951402269</v>
      </c>
      <c r="D23" s="37" t="n">
        <f aca="false">'Income Statement'!D16/'Income Statement'!D5</f>
        <v>0.0989905695374583</v>
      </c>
      <c r="E23" s="37" t="n">
        <f aca="false">'Income Statement'!E16/'Income Statement'!E5</f>
        <v>0.110976986877458</v>
      </c>
      <c r="F23" s="37" t="n">
        <f aca="false">'Income Statement'!F16/'Income Statement'!F5</f>
        <v>0.0695113260921203</v>
      </c>
      <c r="G23" s="37" t="n">
        <f aca="false">'Income Statement'!G16/'Income Statement'!G5</f>
        <v>0.0669856459330144</v>
      </c>
      <c r="H23" s="38" t="s">
        <v>198</v>
      </c>
    </row>
    <row r="24" customFormat="false" ht="13.5" hidden="false" customHeight="true" outlineLevel="0" collapsed="false">
      <c r="A24" s="4" t="s">
        <v>199</v>
      </c>
      <c r="B24" s="2" t="s">
        <v>200</v>
      </c>
      <c r="C24" s="39" t="n">
        <f aca="false">'Income Statement'!C5/AVERAGE('Balance Sheet'!B17,'Balance Sheet'!C17)</f>
        <v>1.19675638282881</v>
      </c>
      <c r="D24" s="39" t="n">
        <f aca="false">'Income Statement'!D5/AVERAGE('Balance Sheet'!C17,'Balance Sheet'!D17)</f>
        <v>1.31575296716847</v>
      </c>
      <c r="E24" s="39" t="n">
        <f aca="false">'Income Statement'!E5/AVERAGE('Balance Sheet'!D17,'Balance Sheet'!E17)</f>
        <v>1.35804656204968</v>
      </c>
      <c r="F24" s="39" t="n">
        <f aca="false">'Income Statement'!F5/AVERAGE('Balance Sheet'!E17,'Balance Sheet'!F17)</f>
        <v>1.24004873542289</v>
      </c>
      <c r="G24" s="39" t="n">
        <f aca="false">'Income Statement'!G5/AVERAGE('Balance Sheet'!F17,'Balance Sheet'!G17)</f>
        <v>1.23746149435251</v>
      </c>
      <c r="H24" s="38" t="s">
        <v>201</v>
      </c>
    </row>
    <row r="25" customFormat="false" ht="13.5" hidden="false" customHeight="true" outlineLevel="0" collapsed="false">
      <c r="A25" s="4" t="s">
        <v>202</v>
      </c>
      <c r="B25" s="2" t="s">
        <v>203</v>
      </c>
      <c r="C25" s="39" t="n">
        <f aca="false">AVERAGE('Balance Sheet'!B17,'Balance Sheet'!C17)/AVERAGE('Balance Sheet'!B37,'Balance Sheet'!C37)</f>
        <v>2.78312179121506</v>
      </c>
      <c r="D25" s="39" t="n">
        <f aca="false">AVERAGE('Balance Sheet'!C17,'Balance Sheet'!D17)/AVERAGE('Balance Sheet'!C37,'Balance Sheet'!D37)</f>
        <v>2.65842581526379</v>
      </c>
      <c r="E25" s="39" t="n">
        <f aca="false">AVERAGE('Balance Sheet'!D17,'Balance Sheet'!E17)/AVERAGE('Balance Sheet'!D37,'Balance Sheet'!E37)</f>
        <v>2.66023070971372</v>
      </c>
      <c r="F25" s="39" t="n">
        <f aca="false">AVERAGE('Balance Sheet'!E17,'Balance Sheet'!F17)/AVERAGE('Balance Sheet'!E37,'Balance Sheet'!F37)</f>
        <v>2.70191368520059</v>
      </c>
      <c r="G25" s="39" t="n">
        <f aca="false">AVERAGE('Balance Sheet'!F17,'Balance Sheet'!G17)/AVERAGE('Balance Sheet'!F37,'Balance Sheet'!G37)</f>
        <v>2.67073865659947</v>
      </c>
      <c r="H25" s="38" t="s">
        <v>204</v>
      </c>
    </row>
    <row r="26" customFormat="false" ht="13.5" hidden="false" customHeight="true" outlineLevel="0" collapsed="false">
      <c r="A26" s="4" t="s">
        <v>205</v>
      </c>
      <c r="B26" s="2" t="s">
        <v>206</v>
      </c>
      <c r="C26" s="37" t="n">
        <f aca="false">C23*C24*C25</f>
        <v>0.431118083285796</v>
      </c>
      <c r="D26" s="37" t="n">
        <f aca="false">D23*D24*D25</f>
        <v>0.346252347618235</v>
      </c>
      <c r="E26" s="37" t="n">
        <f aca="false">E23*E24*E25</f>
        <v>0.40092846592108</v>
      </c>
      <c r="F26" s="37" t="n">
        <f aca="false">F23*F24*F25</f>
        <v>0.232898021198857</v>
      </c>
      <c r="G26" s="37" t="n">
        <f aca="false">G23*G24*G25</f>
        <v>0.221383289408078</v>
      </c>
      <c r="H26" s="38" t="s">
        <v>207</v>
      </c>
    </row>
    <row r="28" customFormat="false" ht="15" hidden="false" customHeight="false" outlineLevel="0" collapsed="false">
      <c r="A28" s="19" t="s">
        <v>208</v>
      </c>
      <c r="B28" s="20"/>
      <c r="C28" s="20"/>
      <c r="D28" s="20"/>
      <c r="E28" s="20"/>
      <c r="F28" s="20"/>
      <c r="G28" s="20"/>
      <c r="H28" s="20"/>
    </row>
    <row r="29" customFormat="false" ht="25.5" hidden="false" customHeight="true" outlineLevel="0" collapsed="false">
      <c r="A29" s="4" t="s">
        <v>48</v>
      </c>
      <c r="B29" s="2" t="s">
        <v>209</v>
      </c>
      <c r="C29" s="39" t="n">
        <f aca="false">'Balance Sheet'!C11/'Balance Sheet'!C26</f>
        <v>2.62935694315005</v>
      </c>
      <c r="D29" s="39" t="n">
        <f aca="false">'Balance Sheet'!D11/'Balance Sheet'!D26</f>
        <v>2.72277441659464</v>
      </c>
      <c r="E29" s="39" t="n">
        <f aca="false">'Balance Sheet'!E11/'Balance Sheet'!E26</f>
        <v>2.39611063910129</v>
      </c>
      <c r="F29" s="39" t="n">
        <f aca="false">'Balance Sheet'!F11/'Balance Sheet'!F26</f>
        <v>2.21105432519402</v>
      </c>
      <c r="G29" s="39" t="n">
        <f aca="false">'Balance Sheet'!G11/'Balance Sheet'!G26</f>
        <v>1.96086713955527</v>
      </c>
      <c r="H29" s="38" t="s">
        <v>210</v>
      </c>
    </row>
    <row r="30" customFormat="false" ht="13.5" hidden="false" customHeight="true" outlineLevel="0" collapsed="false">
      <c r="A30" s="4" t="s">
        <v>211</v>
      </c>
      <c r="B30" s="2" t="s">
        <v>212</v>
      </c>
      <c r="C30" s="39" t="n">
        <f aca="false">('Balance Sheet'!C6+'Balance Sheet'!C7+'Balance Sheet'!C8)/'Balance Sheet'!C26</f>
        <v>1.64622553588071</v>
      </c>
      <c r="D30" s="39" t="n">
        <f aca="false">('Balance Sheet'!D6+'Balance Sheet'!D7+'Balance Sheet'!D8)/'Balance Sheet'!D26</f>
        <v>1.59961106309421</v>
      </c>
      <c r="E30" s="39" t="n">
        <f aca="false">('Balance Sheet'!E6+'Balance Sheet'!E7+'Balance Sheet'!E8)/'Balance Sheet'!E26</f>
        <v>1.51128103464552</v>
      </c>
      <c r="F30" s="39" t="n">
        <f aca="false">('Balance Sheet'!F6+'Balance Sheet'!F7+'Balance Sheet'!F8)/'Balance Sheet'!F26</f>
        <v>1.31251183039939</v>
      </c>
      <c r="G30" s="39" t="n">
        <f aca="false">('Balance Sheet'!G6+'Balance Sheet'!G7+'Balance Sheet'!G8)/'Balance Sheet'!G26</f>
        <v>1.1921574878457</v>
      </c>
      <c r="H30" s="38" t="s">
        <v>213</v>
      </c>
    </row>
    <row r="31" customFormat="false" ht="15" hidden="false" customHeight="false" outlineLevel="0" collapsed="false">
      <c r="A31" s="4" t="s">
        <v>214</v>
      </c>
      <c r="B31" s="2" t="s">
        <v>215</v>
      </c>
      <c r="C31" s="39" t="n">
        <f aca="false">('Balance Sheet'!C6+'Balance Sheet'!C7)/'Balance Sheet'!C26</f>
        <v>1.21127679403541</v>
      </c>
      <c r="D31" s="39" t="n">
        <f aca="false">('Balance Sheet'!D6+'Balance Sheet'!D7)/'Balance Sheet'!D26</f>
        <v>1.15330596369922</v>
      </c>
      <c r="E31" s="39" t="n">
        <f aca="false">('Balance Sheet'!E6+'Balance Sheet'!E7)/'Balance Sheet'!E26</f>
        <v>1.09336354196167</v>
      </c>
      <c r="F31" s="39" t="n">
        <f aca="false">('Balance Sheet'!F6+'Balance Sheet'!F7)/'Balance Sheet'!F26</f>
        <v>0.86607987885671</v>
      </c>
      <c r="G31" s="39" t="n">
        <f aca="false">('Balance Sheet'!G6+'Balance Sheet'!G7)/'Balance Sheet'!G26</f>
        <v>0.719454849764884</v>
      </c>
    </row>
    <row r="33" customFormat="false" ht="15" hidden="false" customHeight="false" outlineLevel="0" collapsed="false">
      <c r="A33" s="19" t="s">
        <v>216</v>
      </c>
      <c r="B33" s="20"/>
      <c r="C33" s="20"/>
      <c r="D33" s="20"/>
      <c r="E33" s="20"/>
      <c r="F33" s="20"/>
      <c r="G33" s="20"/>
      <c r="H33" s="20"/>
    </row>
    <row r="34" customFormat="false" ht="13.5" hidden="false" customHeight="true" outlineLevel="0" collapsed="false">
      <c r="A34" s="4" t="s">
        <v>217</v>
      </c>
      <c r="B34" s="2" t="s">
        <v>218</v>
      </c>
      <c r="C34" s="40" t="n">
        <f aca="false">AVERAGE('Balance Sheet'!B8,'Balance Sheet'!C8)/'Income Statement'!C5*365</f>
        <v>35.67169770927</v>
      </c>
      <c r="D34" s="40" t="n">
        <f aca="false">AVERAGE('Balance Sheet'!C8,'Balance Sheet'!D8)/'Income Statement'!D5*365</f>
        <v>31.3496495304293</v>
      </c>
      <c r="E34" s="40" t="n">
        <f aca="false">AVERAGE('Balance Sheet'!D8,'Balance Sheet'!E8)/'Income Statement'!E5*365</f>
        <v>30.4083758420622</v>
      </c>
      <c r="F34" s="40" t="n">
        <f aca="false">AVERAGE('Balance Sheet'!E8,'Balance Sheet'!F8)/'Income Statement'!F5*365</f>
        <v>36.0357597875143</v>
      </c>
      <c r="G34" s="40" t="n">
        <f aca="false">AVERAGE('Balance Sheet'!F8,'Balance Sheet'!G8)/'Income Statement'!G5*365</f>
        <v>41.882408724514</v>
      </c>
      <c r="H34" s="38" t="s">
        <v>219</v>
      </c>
    </row>
    <row r="35" customFormat="false" ht="13.5" hidden="false" customHeight="true" outlineLevel="0" collapsed="false">
      <c r="A35" s="4" t="s">
        <v>220</v>
      </c>
      <c r="B35" s="2" t="s">
        <v>221</v>
      </c>
      <c r="C35" s="40" t="n">
        <f aca="false">AVERAGE('Balance Sheet'!B9,'Balance Sheet'!C9)/'Income Statement'!C6*365</f>
        <v>110.479370615513</v>
      </c>
      <c r="D35" s="40" t="n">
        <f aca="false">AVERAGE('Balance Sheet'!C9,'Balance Sheet'!D9)/'Income Statement'!D6*365</f>
        <v>106.465168539326</v>
      </c>
      <c r="E35" s="40" t="n">
        <f aca="false">AVERAGE('Balance Sheet'!D9,'Balance Sheet'!E9)/'Income Statement'!E6*365</f>
        <v>102.373046532046</v>
      </c>
      <c r="F35" s="40" t="n">
        <f aca="false">AVERAGE('Balance Sheet'!E9,'Balance Sheet'!F9)/'Income Statement'!F6*365</f>
        <v>103.282929220559</v>
      </c>
      <c r="G35" s="40" t="n">
        <f aca="false">AVERAGE('Balance Sheet'!F9,'Balance Sheet'!G9)/'Income Statement'!G6*365</f>
        <v>103.283686336693</v>
      </c>
      <c r="H35" s="38" t="s">
        <v>222</v>
      </c>
    </row>
    <row r="36" customFormat="false" ht="15" hidden="false" customHeight="false" outlineLevel="0" collapsed="false">
      <c r="A36" s="4" t="s">
        <v>223</v>
      </c>
      <c r="B36" s="2" t="s">
        <v>224</v>
      </c>
      <c r="C36" s="40" t="n">
        <f aca="false">AVERAGE('Balance Sheet'!B22,'Balance Sheet'!C22)/'Income Statement'!C6*365</f>
        <v>44.8022274186517</v>
      </c>
      <c r="D36" s="40" t="n">
        <f aca="false">AVERAGE('Balance Sheet'!C22,'Balance Sheet'!D22)/'Income Statement'!D6*365</f>
        <v>39.2445980985307</v>
      </c>
      <c r="E36" s="40" t="n">
        <f aca="false">AVERAGE('Balance Sheet'!D22,'Balance Sheet'!E22)/'Income Statement'!E6*365</f>
        <v>36.6153643546971</v>
      </c>
      <c r="F36" s="40" t="n">
        <f aca="false">AVERAGE('Balance Sheet'!E22,'Balance Sheet'!F22)/'Income Statement'!F6*365</f>
        <v>43.5621629774878</v>
      </c>
      <c r="G36" s="40" t="n">
        <f aca="false">AVERAGE('Balance Sheet'!F22,'Balance Sheet'!G22)/'Income Statement'!G6*365</f>
        <v>48.7755313927587</v>
      </c>
    </row>
    <row r="37" customFormat="false" ht="13.5" hidden="false" customHeight="true" outlineLevel="0" collapsed="false">
      <c r="A37" s="4" t="s">
        <v>225</v>
      </c>
      <c r="B37" s="2" t="s">
        <v>226</v>
      </c>
      <c r="C37" s="40" t="n">
        <f aca="false">C34+C35-C36</f>
        <v>101.348840906131</v>
      </c>
      <c r="D37" s="40" t="n">
        <f aca="false">D34+D35-D36</f>
        <v>98.5702199712245</v>
      </c>
      <c r="E37" s="40" t="n">
        <f aca="false">E34+E35-E36</f>
        <v>96.1660580194108</v>
      </c>
      <c r="F37" s="40" t="n">
        <f aca="false">F34+F35-F36</f>
        <v>95.7565260305853</v>
      </c>
      <c r="G37" s="40" t="n">
        <f aca="false">G34+G35-G36</f>
        <v>96.3905636684488</v>
      </c>
      <c r="H37" s="38" t="s">
        <v>227</v>
      </c>
    </row>
    <row r="38" customFormat="false" ht="15" hidden="false" customHeight="false" outlineLevel="0" collapsed="false">
      <c r="A38" s="4" t="s">
        <v>228</v>
      </c>
      <c r="B38" s="2" t="s">
        <v>229</v>
      </c>
      <c r="C38" s="39" t="n">
        <f aca="false">'Income Statement'!C6/AVERAGE('Balance Sheet'!B9,'Balance Sheet'!C9)</f>
        <v>3.30378420845882</v>
      </c>
      <c r="D38" s="39" t="n">
        <f aca="false">'Income Statement'!D6/AVERAGE('Balance Sheet'!C9,'Balance Sheet'!D9)</f>
        <v>3.42835130970724</v>
      </c>
      <c r="E38" s="39" t="n">
        <f aca="false">'Income Statement'!E6/AVERAGE('Balance Sheet'!D9,'Balance Sheet'!E9)</f>
        <v>3.56539159832217</v>
      </c>
      <c r="F38" s="39" t="n">
        <f aca="false">'Income Statement'!F6/AVERAGE('Balance Sheet'!E9,'Balance Sheet'!F9)</f>
        <v>3.53398187633262</v>
      </c>
      <c r="G38" s="39" t="n">
        <f aca="false">'Income Statement'!G6/AVERAGE('Balance Sheet'!F9,'Balance Sheet'!G9)</f>
        <v>3.5339559706471</v>
      </c>
    </row>
    <row r="39" customFormat="false" ht="15" hidden="false" customHeight="false" outlineLevel="0" collapsed="false">
      <c r="A39" s="4" t="s">
        <v>199</v>
      </c>
      <c r="B39" s="2" t="s">
        <v>200</v>
      </c>
      <c r="C39" s="39" t="n">
        <f aca="false">'Income Statement'!C5/AVERAGE('Balance Sheet'!B17,'Balance Sheet'!C17)</f>
        <v>1.19675638282881</v>
      </c>
      <c r="D39" s="39" t="n">
        <f aca="false">'Income Statement'!D5/AVERAGE('Balance Sheet'!C17,'Balance Sheet'!D17)</f>
        <v>1.31575296716847</v>
      </c>
      <c r="E39" s="39" t="n">
        <f aca="false">'Income Statement'!E5/AVERAGE('Balance Sheet'!D17,'Balance Sheet'!E17)</f>
        <v>1.35804656204968</v>
      </c>
      <c r="F39" s="39" t="n">
        <f aca="false">'Income Statement'!F5/AVERAGE('Balance Sheet'!E17,'Balance Sheet'!F17)</f>
        <v>1.24004873542289</v>
      </c>
      <c r="G39" s="39" t="n">
        <f aca="false">'Income Statement'!G5/AVERAGE('Balance Sheet'!F17,'Balance Sheet'!G17)</f>
        <v>1.23746149435251</v>
      </c>
    </row>
    <row r="41" customFormat="false" ht="15" hidden="false" customHeight="false" outlineLevel="0" collapsed="false">
      <c r="A41" s="19" t="s">
        <v>230</v>
      </c>
      <c r="B41" s="20"/>
      <c r="C41" s="20"/>
      <c r="D41" s="20"/>
      <c r="E41" s="20"/>
      <c r="F41" s="20"/>
      <c r="G41" s="20"/>
      <c r="H41" s="20"/>
    </row>
    <row r="42" customFormat="false" ht="13.5" hidden="false" customHeight="true" outlineLevel="0" collapsed="false">
      <c r="A42" s="4" t="s">
        <v>231</v>
      </c>
      <c r="B42" s="2" t="s">
        <v>232</v>
      </c>
      <c r="C42" s="36" t="n">
        <f aca="false">'Balance Sheet'!C20+'Balance Sheet'!C21+'Balance Sheet'!C27</f>
        <v>9430</v>
      </c>
      <c r="D42" s="36" t="n">
        <f aca="false">'Balance Sheet'!D20+'Balance Sheet'!D21+'Balance Sheet'!D27</f>
        <v>8933</v>
      </c>
      <c r="E42" s="36" t="n">
        <f aca="false">'Balance Sheet'!E20+'Balance Sheet'!E21+'Balance Sheet'!E27</f>
        <v>8909</v>
      </c>
      <c r="F42" s="36" t="n">
        <f aca="false">'Balance Sheet'!F20+'Balance Sheet'!F21+'Balance Sheet'!F27</f>
        <v>7966</v>
      </c>
      <c r="G42" s="36" t="n">
        <f aca="false">'Balance Sheet'!G20+'Balance Sheet'!G21+'Balance Sheet'!G27</f>
        <v>7942</v>
      </c>
      <c r="H42" s="38" t="s">
        <v>233</v>
      </c>
    </row>
    <row r="43" customFormat="false" ht="15" hidden="false" customHeight="false" outlineLevel="0" collapsed="false">
      <c r="A43" s="4" t="s">
        <v>234</v>
      </c>
      <c r="B43" s="2"/>
      <c r="C43" s="36" t="n">
        <f aca="false">'Balance Sheet'!C6+'Balance Sheet'!C7</f>
        <v>12997</v>
      </c>
      <c r="D43" s="36" t="n">
        <f aca="false">'Balance Sheet'!D6+'Balance Sheet'!D7</f>
        <v>10675</v>
      </c>
      <c r="E43" s="36" t="n">
        <f aca="false">'Balance Sheet'!E6+'Balance Sheet'!E7</f>
        <v>11582</v>
      </c>
      <c r="F43" s="36" t="n">
        <f aca="false">'Balance Sheet'!F6+'Balance Sheet'!F7</f>
        <v>9151</v>
      </c>
      <c r="G43" s="36" t="n">
        <f aca="false">'Balance Sheet'!G6+'Balance Sheet'!G7</f>
        <v>9027</v>
      </c>
    </row>
    <row r="44" customFormat="false" ht="13.5" hidden="false" customHeight="true" outlineLevel="0" collapsed="false">
      <c r="A44" s="4" t="s">
        <v>50</v>
      </c>
      <c r="B44" s="2" t="s">
        <v>235</v>
      </c>
      <c r="C44" s="36" t="n">
        <f aca="false">C43-C42</f>
        <v>3567</v>
      </c>
      <c r="D44" s="36" t="n">
        <f aca="false">D43-D42</f>
        <v>1742</v>
      </c>
      <c r="E44" s="36" t="n">
        <f aca="false">E43-E42</f>
        <v>2673</v>
      </c>
      <c r="F44" s="36" t="n">
        <f aca="false">F43-F42</f>
        <v>1185</v>
      </c>
      <c r="G44" s="36" t="n">
        <f aca="false">G43-G42</f>
        <v>1085</v>
      </c>
      <c r="H44" s="38" t="s">
        <v>236</v>
      </c>
    </row>
    <row r="45" customFormat="false" ht="15" hidden="false" customHeight="false" outlineLevel="0" collapsed="false">
      <c r="A45" s="4" t="s">
        <v>237</v>
      </c>
      <c r="B45" s="2" t="s">
        <v>238</v>
      </c>
      <c r="C45" s="39" t="n">
        <f aca="false">C42/'Balance Sheet'!C37</f>
        <v>0.617106210326549</v>
      </c>
      <c r="D45" s="39" t="n">
        <f aca="false">D42/'Balance Sheet'!D37</f>
        <v>0.637889174521565</v>
      </c>
      <c r="E45" s="39" t="n">
        <f aca="false">E42/'Balance Sheet'!E37</f>
        <v>0.617394317394317</v>
      </c>
      <c r="F45" s="39" t="n">
        <f aca="false">F42/'Balance Sheet'!F37</f>
        <v>0.602891092106259</v>
      </c>
      <c r="G45" s="39" t="n">
        <f aca="false">G42/'Balance Sheet'!G37</f>
        <v>0.534275142953246</v>
      </c>
    </row>
    <row r="46" customFormat="false" ht="13.5" hidden="false" customHeight="true" outlineLevel="0" collapsed="false">
      <c r="A46" s="4" t="s">
        <v>239</v>
      </c>
      <c r="B46" s="2" t="s">
        <v>240</v>
      </c>
      <c r="C46" s="39" t="n">
        <f aca="false">C42/('Income Statement'!C11+'Cash Flow'!C7)</f>
        <v>1.27570346320346</v>
      </c>
      <c r="D46" s="39" t="n">
        <f aca="false">D42/('Income Statement'!D11+'Cash Flow'!D7)</f>
        <v>1.34980356603203</v>
      </c>
      <c r="E46" s="39" t="n">
        <f aca="false">E42/('Income Statement'!E11+'Cash Flow'!E7)</f>
        <v>1.25355283523287</v>
      </c>
      <c r="F46" s="39" t="n">
        <f aca="false">F42/('Income Statement'!F11+'Cash Flow'!F7)</f>
        <v>1.77931650658923</v>
      </c>
      <c r="G46" s="39" t="n">
        <f aca="false">G42/('Income Statement'!G11+'Cash Flow'!G7)</f>
        <v>1.74779929577465</v>
      </c>
      <c r="H46" s="38" t="s">
        <v>241</v>
      </c>
    </row>
    <row r="47" customFormat="false" ht="25.5" hidden="false" customHeight="true" outlineLevel="0" collapsed="false">
      <c r="A47" s="4" t="s">
        <v>242</v>
      </c>
      <c r="B47" s="2" t="s">
        <v>243</v>
      </c>
      <c r="C47" s="39" t="n">
        <f aca="false">'Income Statement'!C11/'Cash Flow'!C41</f>
        <v>23.0172413793103</v>
      </c>
      <c r="D47" s="39" t="n">
        <f aca="false">'Income Statement'!D11/'Cash Flow'!D41</f>
        <v>17.0461095100865</v>
      </c>
      <c r="E47" s="39" t="n">
        <f aca="false">'Income Statement'!E11/'Cash Flow'!E41</f>
        <v>16.5643044619423</v>
      </c>
      <c r="F47" s="39" t="n">
        <f aca="false">'Income Statement'!F11/'Cash Flow'!F41</f>
        <v>9.51670951156812</v>
      </c>
      <c r="G47" s="39" t="n">
        <f aca="false">'Income Statement'!G11/'Cash Flow'!G41</f>
        <v>11.7554179566563</v>
      </c>
      <c r="H47" s="38" t="s">
        <v>244</v>
      </c>
    </row>
    <row r="49" customFormat="false" ht="15" hidden="false" customHeight="false" outlineLevel="0" collapsed="false">
      <c r="A49" s="19" t="s">
        <v>245</v>
      </c>
      <c r="B49" s="20"/>
      <c r="C49" s="20"/>
      <c r="D49" s="20"/>
      <c r="E49" s="20"/>
      <c r="F49" s="20"/>
      <c r="G49" s="20"/>
      <c r="H49" s="20"/>
    </row>
    <row r="50" customFormat="false" ht="15" hidden="false" customHeight="false" outlineLevel="0" collapsed="false">
      <c r="A50" s="4" t="s">
        <v>246</v>
      </c>
      <c r="B50" s="2" t="s">
        <v>247</v>
      </c>
      <c r="C50" s="36" t="n">
        <f aca="false">'Cash Flow'!C16</f>
        <v>5188</v>
      </c>
      <c r="D50" s="36" t="n">
        <f aca="false">'Cash Flow'!D16</f>
        <v>5841</v>
      </c>
      <c r="E50" s="36" t="n">
        <f aca="false">'Cash Flow'!E16</f>
        <v>7429</v>
      </c>
      <c r="F50" s="36" t="n">
        <f aca="false">'Cash Flow'!F16</f>
        <v>3698</v>
      </c>
      <c r="G50" s="36" t="n">
        <f aca="false">'Cash Flow'!G16</f>
        <v>2868</v>
      </c>
    </row>
    <row r="51" customFormat="false" ht="15" hidden="false" customHeight="false" outlineLevel="0" collapsed="false">
      <c r="A51" s="4" t="s">
        <v>248</v>
      </c>
      <c r="B51" s="2" t="s">
        <v>249</v>
      </c>
      <c r="C51" s="36" t="n">
        <f aca="false">-'Cash Flow'!C22</f>
        <v>758</v>
      </c>
      <c r="D51" s="36" t="n">
        <f aca="false">-'Cash Flow'!D22</f>
        <v>969</v>
      </c>
      <c r="E51" s="36" t="n">
        <f aca="false">-'Cash Flow'!E22</f>
        <v>812</v>
      </c>
      <c r="F51" s="36" t="n">
        <f aca="false">-'Cash Flow'!F22</f>
        <v>430</v>
      </c>
      <c r="G51" s="36" t="n">
        <f aca="false">-'Cash Flow'!G22</f>
        <v>684</v>
      </c>
    </row>
    <row r="52" customFormat="false" ht="13.5" hidden="false" customHeight="true" outlineLevel="0" collapsed="false">
      <c r="A52" s="4" t="s">
        <v>250</v>
      </c>
      <c r="B52" s="2" t="s">
        <v>251</v>
      </c>
      <c r="C52" s="36" t="n">
        <f aca="false">C50-C51</f>
        <v>4430</v>
      </c>
      <c r="D52" s="36" t="n">
        <f aca="false">D50-D51</f>
        <v>4872</v>
      </c>
      <c r="E52" s="36" t="n">
        <f aca="false">E50-E51</f>
        <v>6617</v>
      </c>
      <c r="F52" s="36" t="n">
        <f aca="false">F50-F51</f>
        <v>3268</v>
      </c>
      <c r="G52" s="36" t="n">
        <f aca="false">G50-G51</f>
        <v>2184</v>
      </c>
      <c r="H52" s="38" t="s">
        <v>252</v>
      </c>
    </row>
    <row r="53" customFormat="false" ht="15" hidden="false" customHeight="false" outlineLevel="0" collapsed="false">
      <c r="A53" s="4" t="s">
        <v>253</v>
      </c>
      <c r="B53" s="2" t="s">
        <v>254</v>
      </c>
      <c r="C53" s="37" t="n">
        <f aca="false">C52/'Income Statement'!C5</f>
        <v>0.0948405052451295</v>
      </c>
      <c r="D53" s="37" t="n">
        <f aca="false">D52/'Income Statement'!D5</f>
        <v>0.0951246656383623</v>
      </c>
      <c r="E53" s="37" t="n">
        <f aca="false">E52/'Income Statement'!E5</f>
        <v>0.128830653011954</v>
      </c>
      <c r="F53" s="37" t="n">
        <f aca="false">F52/'Income Statement'!F5</f>
        <v>0.0705694357468311</v>
      </c>
      <c r="G53" s="37" t="n">
        <f aca="false">G52/'Income Statement'!G5</f>
        <v>0.0470709944394155</v>
      </c>
    </row>
    <row r="54" customFormat="false" ht="25.5" hidden="false" customHeight="true" outlineLevel="0" collapsed="false">
      <c r="A54" s="4" t="s">
        <v>255</v>
      </c>
      <c r="B54" s="2" t="s">
        <v>256</v>
      </c>
      <c r="C54" s="37" t="n">
        <f aca="false">C52/'Income Statement'!C16</f>
        <v>0.732715845186901</v>
      </c>
      <c r="D54" s="37" t="n">
        <f aca="false">D52/'Income Statement'!D16</f>
        <v>0.96094674556213</v>
      </c>
      <c r="E54" s="37" t="n">
        <f aca="false">E52/'Income Statement'!E16</f>
        <v>1.16087719298246</v>
      </c>
      <c r="F54" s="37" t="n">
        <f aca="false">F52/'Income Statement'!F16</f>
        <v>1.01522211867039</v>
      </c>
      <c r="G54" s="37" t="n">
        <f aca="false">G52/'Income Statement'!G16</f>
        <v>0.702702702702703</v>
      </c>
      <c r="H54" s="38" t="s">
        <v>257</v>
      </c>
    </row>
    <row r="55" customFormat="false" ht="15" hidden="false" customHeight="false" outlineLevel="0" collapsed="false">
      <c r="A55" s="4" t="s">
        <v>258</v>
      </c>
      <c r="B55" s="2"/>
      <c r="C55" s="36" t="n">
        <f aca="false">-'Cash Flow'!C30</f>
        <v>4014</v>
      </c>
      <c r="D55" s="36" t="n">
        <f aca="false">-'Cash Flow'!D30</f>
        <v>5480</v>
      </c>
      <c r="E55" s="36" t="n">
        <f aca="false">-'Cash Flow'!E30</f>
        <v>4250</v>
      </c>
      <c r="F55" s="36" t="n">
        <f aca="false">-'Cash Flow'!F30</f>
        <v>2985</v>
      </c>
      <c r="G55" s="36" t="n">
        <f aca="false">-'Cash Flow'!G30</f>
        <v>146</v>
      </c>
    </row>
    <row r="56" customFormat="false" ht="13.5" hidden="false" customHeight="true" outlineLevel="0" collapsed="false">
      <c r="A56" s="4" t="s">
        <v>259</v>
      </c>
      <c r="B56" s="2"/>
      <c r="C56" s="36" t="n">
        <f aca="false">-'Cash Flow'!C31</f>
        <v>1837</v>
      </c>
      <c r="D56" s="36" t="n">
        <f aca="false">-'Cash Flow'!D31</f>
        <v>2012</v>
      </c>
      <c r="E56" s="36" t="n">
        <f aca="false">-'Cash Flow'!E31</f>
        <v>2169</v>
      </c>
      <c r="F56" s="36" t="n">
        <f aca="false">-'Cash Flow'!F31</f>
        <v>2300</v>
      </c>
      <c r="G56" s="36" t="n">
        <f aca="false">-'Cash Flow'!G31</f>
        <v>2407</v>
      </c>
      <c r="H56" s="38" t="s">
        <v>260</v>
      </c>
    </row>
    <row r="57" customFormat="false" ht="15" hidden="false" customHeight="false" outlineLevel="0" collapsed="false">
      <c r="A57" s="4" t="s">
        <v>261</v>
      </c>
      <c r="B57" s="2" t="s">
        <v>262</v>
      </c>
      <c r="C57" s="36" t="n">
        <f aca="false">C55+C56</f>
        <v>5851</v>
      </c>
      <c r="D57" s="36" t="n">
        <f aca="false">D55+D56</f>
        <v>7492</v>
      </c>
      <c r="E57" s="36" t="n">
        <f aca="false">E55+E56</f>
        <v>6419</v>
      </c>
      <c r="F57" s="36" t="n">
        <f aca="false">F55+F56</f>
        <v>5285</v>
      </c>
      <c r="G57" s="36" t="n">
        <f aca="false">G55+G56</f>
        <v>2553</v>
      </c>
    </row>
    <row r="58" customFormat="false" ht="25.5" hidden="false" customHeight="true" outlineLevel="0" collapsed="false">
      <c r="A58" s="4" t="s">
        <v>263</v>
      </c>
      <c r="B58" s="2" t="s">
        <v>264</v>
      </c>
      <c r="C58" s="37" t="n">
        <f aca="false">C57/C52</f>
        <v>1.32076749435666</v>
      </c>
      <c r="D58" s="37" t="n">
        <f aca="false">D57/D52</f>
        <v>1.53776683087028</v>
      </c>
      <c r="E58" s="37" t="n">
        <f aca="false">E57/E52</f>
        <v>0.970077074202811</v>
      </c>
      <c r="F58" s="37" t="n">
        <f aca="false">F57/F52</f>
        <v>1.6171970624235</v>
      </c>
      <c r="G58" s="37" t="n">
        <f aca="false">G57/G52</f>
        <v>1.16895604395604</v>
      </c>
      <c r="H58" s="38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8" t="s">
        <v>19</v>
      </c>
    </row>
    <row r="2" customFormat="false" ht="15" hidden="false" customHeight="false" outlineLevel="0" collapsed="false">
      <c r="A2" s="2" t="s">
        <v>266</v>
      </c>
    </row>
    <row r="4" customFormat="false" ht="15" hidden="false" customHeight="false" outlineLevel="0" collapsed="false">
      <c r="A4" s="9" t="s">
        <v>33</v>
      </c>
      <c r="B4" s="11" t="s">
        <v>76</v>
      </c>
      <c r="C4" s="11" t="s">
        <v>34</v>
      </c>
      <c r="D4" s="11" t="s">
        <v>35</v>
      </c>
      <c r="E4" s="11" t="s">
        <v>36</v>
      </c>
      <c r="F4" s="11" t="s">
        <v>37</v>
      </c>
      <c r="G4" s="11" t="s">
        <v>38</v>
      </c>
    </row>
    <row r="5" customFormat="false" ht="15" hidden="false" customHeight="false" outlineLevel="0" collapsed="false">
      <c r="A5" s="4" t="s">
        <v>267</v>
      </c>
      <c r="B5" s="36" t="n">
        <f aca="false">ROUND('Income Statement'!B7-19962,0)</f>
        <v>0</v>
      </c>
      <c r="C5" s="36" t="n">
        <f aca="false">ROUND('Income Statement'!C7-21479,0)</f>
        <v>0</v>
      </c>
      <c r="D5" s="36" t="n">
        <f aca="false">ROUND('Income Statement'!D7-22292,0)</f>
        <v>0</v>
      </c>
      <c r="E5" s="36" t="n">
        <f aca="false">ROUND('Income Statement'!E7-22887,0)</f>
        <v>0</v>
      </c>
      <c r="F5" s="36" t="n">
        <f aca="false">ROUND('Income Statement'!F7-19790,0)</f>
        <v>0</v>
      </c>
      <c r="G5" s="36" t="n">
        <f aca="false">ROUND('Income Statement'!G7-19911,0)</f>
        <v>0</v>
      </c>
    </row>
    <row r="6" customFormat="false" ht="15" hidden="false" customHeight="false" outlineLevel="0" collapsed="false">
      <c r="A6" s="4" t="s">
        <v>268</v>
      </c>
      <c r="B6" s="36" t="n">
        <f aca="false">ROUND('Income Statement'!B14-6661,0)</f>
        <v>0</v>
      </c>
      <c r="C6" s="36" t="n">
        <f aca="false">ROUND('Income Statement'!C14-6651,0)</f>
        <v>0</v>
      </c>
      <c r="D6" s="36" t="n">
        <f aca="false">ROUND('Income Statement'!D14-6201,0)</f>
        <v>0</v>
      </c>
      <c r="E6" s="36" t="n">
        <f aca="false">ROUND('Income Statement'!E14-6700,0)</f>
        <v>0</v>
      </c>
      <c r="F6" s="36" t="n">
        <f aca="false">ROUND('Income Statement'!F14-3885,0)</f>
        <v>0</v>
      </c>
      <c r="G6" s="36" t="n">
        <f aca="false">ROUND('Income Statement'!G14-3900,0)</f>
        <v>0</v>
      </c>
    </row>
    <row r="7" customFormat="false" ht="15" hidden="false" customHeight="false" outlineLevel="0" collapsed="false">
      <c r="A7" s="4" t="s">
        <v>269</v>
      </c>
      <c r="B7" s="36" t="n">
        <f aca="false">ROUND('Income Statement'!B16-5727,0)</f>
        <v>0</v>
      </c>
      <c r="C7" s="36" t="n">
        <f aca="false">ROUND('Income Statement'!C16-6046,0)</f>
        <v>0</v>
      </c>
      <c r="D7" s="36" t="n">
        <f aca="false">ROUND('Income Statement'!D16-5070,0)</f>
        <v>0</v>
      </c>
      <c r="E7" s="36" t="n">
        <f aca="false">ROUND('Income Statement'!E16-5700,0)</f>
        <v>0</v>
      </c>
      <c r="F7" s="36" t="n">
        <f aca="false">ROUND('Income Statement'!F16-3219,0)</f>
        <v>0</v>
      </c>
      <c r="G7" s="36" t="n">
        <f aca="false">ROUND('Income Statement'!G16-3108,0)</f>
        <v>0</v>
      </c>
    </row>
    <row r="8" customFormat="false" ht="15" hidden="false" customHeight="false" outlineLevel="0" collapsed="false">
      <c r="A8" s="4" t="s">
        <v>270</v>
      </c>
      <c r="B8" s="36" t="n">
        <f aca="false">ROUND('Balance Sheet'!B11-26291,0)</f>
        <v>0</v>
      </c>
      <c r="C8" s="36" t="n">
        <f aca="false">ROUND('Balance Sheet'!C11-28213,0)</f>
        <v>0</v>
      </c>
      <c r="D8" s="36" t="n">
        <f aca="false">ROUND('Balance Sheet'!D11-25202,0)</f>
        <v>0</v>
      </c>
      <c r="E8" s="36" t="n">
        <f aca="false">ROUND('Balance Sheet'!E11-25382,0)</f>
        <v>0</v>
      </c>
      <c r="F8" s="36" t="n">
        <f aca="false">ROUND('Balance Sheet'!F11-23362,0)</f>
        <v>0</v>
      </c>
      <c r="G8" s="36" t="n">
        <f aca="false">ROUND('Balance Sheet'!G11-24603,0)</f>
        <v>0</v>
      </c>
    </row>
    <row r="9" customFormat="false" ht="15" hidden="false" customHeight="false" outlineLevel="0" collapsed="false">
      <c r="A9" s="4" t="s">
        <v>271</v>
      </c>
      <c r="B9" s="36" t="n">
        <f aca="false">ROUND('Balance Sheet'!B17-37740,0)</f>
        <v>0</v>
      </c>
      <c r="C9" s="36" t="n">
        <f aca="false">ROUND('Balance Sheet'!C17-40321,0)</f>
        <v>0</v>
      </c>
      <c r="D9" s="36" t="n">
        <f aca="false">ROUND('Balance Sheet'!D17-37531,0)</f>
        <v>0</v>
      </c>
      <c r="E9" s="36" t="n">
        <f aca="false">ROUND('Balance Sheet'!E17-38110,0)</f>
        <v>0</v>
      </c>
      <c r="F9" s="36" t="n">
        <f aca="false">ROUND('Balance Sheet'!F17-36579,0)</f>
        <v>0</v>
      </c>
      <c r="G9" s="36" t="n">
        <f aca="false">ROUND('Balance Sheet'!G17-38410,0)</f>
        <v>0</v>
      </c>
    </row>
    <row r="10" customFormat="false" ht="15" hidden="false" customHeight="false" outlineLevel="0" collapsed="false">
      <c r="A10" s="4" t="s">
        <v>272</v>
      </c>
      <c r="B10" s="36" t="n">
        <f aca="false">ROUND('Balance Sheet'!B26-9674,0)</f>
        <v>0</v>
      </c>
      <c r="C10" s="36" t="n">
        <f aca="false">ROUND('Balance Sheet'!C26-10730,0)</f>
        <v>0</v>
      </c>
      <c r="D10" s="36" t="n">
        <f aca="false">ROUND('Balance Sheet'!D26-9256,0)</f>
        <v>0</v>
      </c>
      <c r="E10" s="36" t="n">
        <f aca="false">ROUND('Balance Sheet'!E26-10593,0)</f>
        <v>0</v>
      </c>
      <c r="F10" s="36" t="n">
        <f aca="false">ROUND('Balance Sheet'!F26-10566,0)</f>
        <v>0</v>
      </c>
      <c r="G10" s="36" t="n">
        <f aca="false">ROUND('Balance Sheet'!G26-12547,0)</f>
        <v>0</v>
      </c>
    </row>
    <row r="11" customFormat="false" ht="15" hidden="false" customHeight="false" outlineLevel="0" collapsed="false">
      <c r="A11" s="4" t="s">
        <v>273</v>
      </c>
      <c r="B11" s="36" t="n">
        <f aca="false">ROUND('Balance Sheet'!B37-12767,0)</f>
        <v>0</v>
      </c>
      <c r="C11" s="36" t="n">
        <f aca="false">ROUND('Balance Sheet'!C37-15281,0)</f>
        <v>0</v>
      </c>
      <c r="D11" s="36" t="n">
        <f aca="false">ROUND('Balance Sheet'!D37-14004,0)</f>
        <v>0</v>
      </c>
      <c r="E11" s="36" t="n">
        <f aca="false">ROUND('Balance Sheet'!E37-14430,0)</f>
        <v>0</v>
      </c>
      <c r="F11" s="36" t="n">
        <f aca="false">ROUND('Balance Sheet'!F37-13213,0)</f>
        <v>0</v>
      </c>
      <c r="G11" s="36" t="n">
        <f aca="false">ROUND('Balance Sheet'!G37-14865,0)</f>
        <v>0</v>
      </c>
    </row>
    <row r="12" customFormat="false" ht="15" hidden="false" customHeight="false" outlineLevel="0" collapsed="false">
      <c r="A12" s="4" t="s">
        <v>274</v>
      </c>
      <c r="B12" s="36" t="n">
        <f aca="false">ROUND('Cash Flow'!B16-6657,0)</f>
        <v>0</v>
      </c>
      <c r="C12" s="36" t="n">
        <f aca="false">ROUND('Cash Flow'!C16-5188,0)</f>
        <v>0</v>
      </c>
      <c r="D12" s="36" t="n">
        <f aca="false">ROUND('Cash Flow'!D16-5841,0)</f>
        <v>0</v>
      </c>
      <c r="E12" s="36" t="n">
        <f aca="false">ROUND('Cash Flow'!E16-7429,0)</f>
        <v>0</v>
      </c>
      <c r="F12" s="36" t="n">
        <f aca="false">ROUND('Cash Flow'!F16-3698,0)</f>
        <v>0</v>
      </c>
      <c r="G12" s="36" t="n">
        <f aca="false">ROUND('Cash Flow'!G16-2868,0)</f>
        <v>0</v>
      </c>
    </row>
    <row r="13" customFormat="false" ht="15" hidden="false" customHeight="false" outlineLevel="0" collapsed="false">
      <c r="A13" s="4" t="s">
        <v>275</v>
      </c>
      <c r="B13" s="36" t="n">
        <f aca="false">ROUND('Cash Flow'!B24--3800,0)</f>
        <v>0</v>
      </c>
      <c r="C13" s="36" t="n">
        <f aca="false">ROUND('Cash Flow'!C24--1524,0)</f>
        <v>0</v>
      </c>
      <c r="D13" s="36" t="n">
        <f aca="false">ROUND('Cash Flow'!D24-564,0)</f>
        <v>0</v>
      </c>
      <c r="E13" s="36" t="n">
        <f aca="false">ROUND('Cash Flow'!E24-894,0)</f>
        <v>0</v>
      </c>
      <c r="F13" s="36" t="n">
        <f aca="false">ROUND('Cash Flow'!F24--275,0)</f>
        <v>0</v>
      </c>
      <c r="G13" s="36" t="n">
        <f aca="false">ROUND('Cash Flow'!G24--488,0)</f>
        <v>0</v>
      </c>
    </row>
    <row r="14" customFormat="false" ht="15" hidden="false" customHeight="false" outlineLevel="0" collapsed="false">
      <c r="A14" s="4" t="s">
        <v>276</v>
      </c>
      <c r="B14" s="36" t="n">
        <f aca="false">ROUND('Cash Flow'!B33--1459,0)</f>
        <v>0</v>
      </c>
      <c r="C14" s="36" t="n">
        <f aca="false">ROUND('Cash Flow'!C33--4836,0)</f>
        <v>0</v>
      </c>
      <c r="D14" s="36" t="n">
        <f aca="false">ROUND('Cash Flow'!D33--7447,0)</f>
        <v>0</v>
      </c>
      <c r="E14" s="36" t="n">
        <f aca="false">ROUND('Cash Flow'!E33--5888,0)</f>
        <v>0</v>
      </c>
      <c r="F14" s="36" t="n">
        <f aca="false">ROUND('Cash Flow'!F33--5820,0)</f>
        <v>0</v>
      </c>
      <c r="G14" s="36" t="n">
        <f aca="false">ROUND('Cash Flow'!G33--2292,0)</f>
        <v>0</v>
      </c>
    </row>
    <row r="15" customFormat="false" ht="15" hidden="false" customHeight="false" outlineLevel="0" collapsed="false">
      <c r="A15" s="4" t="s">
        <v>277</v>
      </c>
      <c r="B15" s="36" t="n">
        <f aca="false">ROUND('Balance Sheet'!B17-'Balance Sheet'!B38,0)</f>
        <v>0</v>
      </c>
      <c r="C15" s="36" t="n">
        <f aca="false">ROUND('Balance Sheet'!C17-'Balance Sheet'!C38,0)</f>
        <v>0</v>
      </c>
      <c r="D15" s="36" t="n">
        <f aca="false">ROUND('Balance Sheet'!D17-'Balance Sheet'!D38,0)</f>
        <v>0</v>
      </c>
      <c r="E15" s="36" t="n">
        <f aca="false">ROUND('Balance Sheet'!E17-'Balance Sheet'!E38,0)</f>
        <v>0</v>
      </c>
      <c r="F15" s="36" t="n">
        <f aca="false">ROUND('Balance Sheet'!F17-'Balance Sheet'!F38,0)</f>
        <v>0</v>
      </c>
      <c r="G15" s="36" t="n">
        <f aca="false">ROUND('Balance Sheet'!G17-'Balance Sheet'!G38,0)</f>
        <v>0</v>
      </c>
    </row>
    <row r="16" customFormat="false" ht="15" hidden="false" customHeight="false" outlineLevel="0" collapsed="false">
      <c r="A16" s="4" t="s">
        <v>278</v>
      </c>
      <c r="B16" s="36" t="n">
        <f aca="false">ROUND('Cash Flow'!B38-'Balance Sheet'!B6,0)</f>
        <v>0</v>
      </c>
      <c r="C16" s="36" t="n">
        <f aca="false">ROUND('Cash Flow'!C38-'Balance Sheet'!C6,0)</f>
        <v>0</v>
      </c>
      <c r="D16" s="36" t="n">
        <f aca="false">ROUND('Cash Flow'!D38-'Balance Sheet'!D6,0)</f>
        <v>0</v>
      </c>
      <c r="E16" s="36" t="n">
        <f aca="false">ROUND('Cash Flow'!E38-'Balance Sheet'!E6,0)</f>
        <v>0</v>
      </c>
      <c r="F16" s="36" t="n">
        <f aca="false">ROUND('Cash Flow'!F38-'Balance Sheet'!F6,0)</f>
        <v>0</v>
      </c>
      <c r="G16" s="36" t="n">
        <f aca="false">ROUND('Cash Flow'!G38-'Balance Sheet'!G6,0)</f>
        <v>0</v>
      </c>
    </row>
    <row r="17" customFormat="false" ht="15" hidden="false" customHeight="false" outlineLevel="0" collapsed="false">
      <c r="A17" s="4" t="s">
        <v>279</v>
      </c>
      <c r="B17" s="36" t="n">
        <f aca="false">ROUND(('Income Statement'!B16/'Income Statement'!B19-'Income Statement'!B18)*100,0)</f>
        <v>-0</v>
      </c>
      <c r="C17" s="36" t="n">
        <f aca="false">ROUND(('Income Statement'!C16/'Income Statement'!C19-'Income Statement'!C18)*100,0)</f>
        <v>0</v>
      </c>
      <c r="D17" s="36" t="n">
        <f aca="false">ROUND(('Income Statement'!D16/'Income Statement'!D19-'Income Statement'!D18)*100,0)</f>
        <v>-0</v>
      </c>
      <c r="E17" s="36" t="n">
        <f aca="false">ROUND(('Income Statement'!E16/'Income Statement'!E19-'Income Statement'!E18)*100,0)</f>
        <v>-0</v>
      </c>
      <c r="F17" s="36" t="n">
        <f aca="false">ROUND(('Income Statement'!F16/'Income Statement'!F19-'Income Statement'!F18)*100,0)</f>
        <v>0</v>
      </c>
      <c r="G17" s="36" t="n">
        <f aca="false">ROUND(('Income Statement'!G16/'Income Statement'!G19-'Income Statement'!G18)*100,0)</f>
        <v>-0</v>
      </c>
    </row>
    <row r="19" customFormat="false" ht="15" hidden="false" customHeight="false" outlineLevel="0" collapsed="false">
      <c r="A19" s="3" t="s">
        <v>280</v>
      </c>
      <c r="B19" s="7" t="str">
        <f aca="false">IF(SUMPRODUCT(ABS(B5:G17))=0,"OK","ERROR")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2026-10-20T05:18:08Z</dcterms:created>
  <dc:creator>openpyxl</dc:creator>
  <dc:description/>
  <dc:language>en-US</dc:language>
  <cp:lastModifiedBy/>
  <dcterms:modified xsi:type="dcterms:W3CDTF">2026-10-20T05:18:10Z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